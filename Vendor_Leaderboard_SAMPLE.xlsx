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Observations" sheetId="2" state="visible" r:id="rId4"/>
    <sheet name="Punch_List" sheetId="3" state="visible" r:id="rId5"/>
    <sheet name="Actions" sheetId="4" state="visible" r:id="rId6"/>
    <sheet name="QAQC_Items" sheetId="5" state="visible" r:id="rId7"/>
    <sheet name="Vendor_Scorecard" sheetId="6" state="visible" r:id="rId8"/>
    <sheet name="Looku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<sst xmlns="http://schemas.openxmlformats.org/spreadsheetml/2006/main" count="1488" uniqueCount="391">
  <si>
    <t xml:space="preserve">SYNTHETIC SAMPLE DATA — vendor accountability leaderboard</t>
  </si>
  <si>
    <t xml:space="preserve">This workbook mirrors the STRUCTURE of a live data-centre commissioning tracker,</t>
  </si>
  <si>
    <t xml:space="preserve">but every value here is INVENTED. No real vendors, people, sites or figures appear.</t>
  </si>
  <si>
    <t xml:space="preserve">Safe to hand to Claude Code for building and experimentation.</t>
  </si>
  <si>
    <t xml:space="preserve">Sheets:</t>
  </si>
  <si>
    <t xml:space="preserve">  Observations      - obs records, one row each, with a responsible Company</t>
  </si>
  <si>
    <t xml:space="preserve">  Punch_List        - punch items, one row each, with a responsible Company</t>
  </si>
  <si>
    <t xml:space="preserve">  Actions           - actions/decisions, one row each, with a responsible Company</t>
  </si>
  <si>
    <t xml:space="preserve">  QAQC_Items        - QA/QC + Cx items, one row each, with a responsible Company</t>
  </si>
  <si>
    <t xml:space="preserve">  Vendor_Scorecard  - the TARGET leaderboard, aggregated from the four sheets above</t>
  </si>
  <si>
    <t xml:space="preserve">  Lookups           - valid values (statuses, priority, RAG, systems, vendor list)</t>
  </si>
  <si>
    <t xml:space="preserve">The leaderboard answers: 'who is holding the programme back?' — ranked by Total Overdue.</t>
  </si>
  <si>
    <t xml:space="preserve">Vendor_Scorecard is built with live COUNTIF/COUNTIFS formulas so you can see the logic.</t>
  </si>
  <si>
    <t xml:space="preserve">Obs ID</t>
  </si>
  <si>
    <t xml:space="preserve">Company</t>
  </si>
  <si>
    <t xml:space="preserve">System</t>
  </si>
  <si>
    <t xml:space="preserve">Title / Description</t>
  </si>
  <si>
    <t xml:space="preserve">Status</t>
  </si>
  <si>
    <t xml:space="preserve">Priority</t>
  </si>
  <si>
    <t xml:space="preserve">Date Raised</t>
  </si>
  <si>
    <t xml:space="preserve">Due Date</t>
  </si>
  <si>
    <t xml:space="preserve">Days Overdue</t>
  </si>
  <si>
    <t xml:space="preserve">OBS-001</t>
  </si>
  <si>
    <t xml:space="preserve">Apex M&amp;E</t>
  </si>
  <si>
    <t xml:space="preserve">Mechanical</t>
  </si>
  <si>
    <t xml:space="preserve">Mechanical item OBS-001 — sample text</t>
  </si>
  <si>
    <t xml:space="preserve">In Progress</t>
  </si>
  <si>
    <t xml:space="preserve">Critical</t>
  </si>
  <si>
    <t xml:space="preserve">2026-03-01</t>
  </si>
  <si>
    <t xml:space="preserve">2026-06-30</t>
  </si>
  <si>
    <t xml:space="preserve">OBS-002</t>
  </si>
  <si>
    <t xml:space="preserve">Northwind Power</t>
  </si>
  <si>
    <t xml:space="preserve">Electrical</t>
  </si>
  <si>
    <t xml:space="preserve">Electrical item OBS-002 — sample text</t>
  </si>
  <si>
    <t xml:space="preserve">High</t>
  </si>
  <si>
    <t xml:space="preserve">OBS-003</t>
  </si>
  <si>
    <t xml:space="preserve">Hydraulic</t>
  </si>
  <si>
    <t xml:space="preserve">Electrical item OBS-003 — sample text</t>
  </si>
  <si>
    <t xml:space="preserve">Open</t>
  </si>
  <si>
    <t xml:space="preserve">Low</t>
  </si>
  <si>
    <t xml:space="preserve">OBS-004</t>
  </si>
  <si>
    <t xml:space="preserve">Civil</t>
  </si>
  <si>
    <t xml:space="preserve">Electrical item OBS-004 — sample text</t>
  </si>
  <si>
    <t xml:space="preserve">OBS-005</t>
  </si>
  <si>
    <t xml:space="preserve">Fire</t>
  </si>
  <si>
    <t xml:space="preserve">Electrical item OBS-005 — sample text</t>
  </si>
  <si>
    <t xml:space="preserve">Void</t>
  </si>
  <si>
    <t xml:space="preserve">OBS-006</t>
  </si>
  <si>
    <t xml:space="preserve">Security</t>
  </si>
  <si>
    <t xml:space="preserve">Electrical item OBS-006 — sample text</t>
  </si>
  <si>
    <t xml:space="preserve">OBS-007</t>
  </si>
  <si>
    <t xml:space="preserve">Electrical item OBS-007 — sample text</t>
  </si>
  <si>
    <t xml:space="preserve">OBS-008</t>
  </si>
  <si>
    <t xml:space="preserve">Electrical item OBS-008 — sample text</t>
  </si>
  <si>
    <t xml:space="preserve">Closed</t>
  </si>
  <si>
    <t xml:space="preserve">OBS-009</t>
  </si>
  <si>
    <t xml:space="preserve">BMS</t>
  </si>
  <si>
    <t xml:space="preserve">Electrical item OBS-009 — sample text</t>
  </si>
  <si>
    <t xml:space="preserve">OBS-010</t>
  </si>
  <si>
    <t xml:space="preserve">Vanguard Controls</t>
  </si>
  <si>
    <t xml:space="preserve">BMS item OBS-010 — sample text</t>
  </si>
  <si>
    <t xml:space="preserve">OBS-011</t>
  </si>
  <si>
    <t xml:space="preserve">Meridian Cooling</t>
  </si>
  <si>
    <t xml:space="preserve">Mechanical item OBS-011 — sample text</t>
  </si>
  <si>
    <t xml:space="preserve">Medium</t>
  </si>
  <si>
    <t xml:space="preserve">OBS-012</t>
  </si>
  <si>
    <t xml:space="preserve">Orbit Switchgear</t>
  </si>
  <si>
    <t xml:space="preserve">Electrical item OBS-012 — sample text</t>
  </si>
  <si>
    <t xml:space="preserve">OBS-013</t>
  </si>
  <si>
    <t xml:space="preserve">Electrical item OBS-013 — sample text</t>
  </si>
  <si>
    <t xml:space="preserve">OBS-014</t>
  </si>
  <si>
    <t xml:space="preserve">Electrical item OBS-014 — sample text</t>
  </si>
  <si>
    <t xml:space="preserve">OBS-015</t>
  </si>
  <si>
    <t xml:space="preserve">Electrical item OBS-015 — sample text</t>
  </si>
  <si>
    <t xml:space="preserve">OBS-016</t>
  </si>
  <si>
    <t xml:space="preserve">Electrical item OBS-016 — sample text</t>
  </si>
  <si>
    <t xml:space="preserve">OBS-017</t>
  </si>
  <si>
    <t xml:space="preserve">Falcon Fire</t>
  </si>
  <si>
    <t xml:space="preserve">Fire item OBS-017 — sample text</t>
  </si>
  <si>
    <t xml:space="preserve">OBS-018</t>
  </si>
  <si>
    <t xml:space="preserve">Fire item OBS-018 — sample text</t>
  </si>
  <si>
    <t xml:space="preserve">OBS-019</t>
  </si>
  <si>
    <t xml:space="preserve">Fire item OBS-019 — sample text</t>
  </si>
  <si>
    <t xml:space="preserve">OBS-020</t>
  </si>
  <si>
    <t xml:space="preserve">Helios Energy</t>
  </si>
  <si>
    <t xml:space="preserve">Electrical item OBS-020 — sample text</t>
  </si>
  <si>
    <t xml:space="preserve">OBS-021</t>
  </si>
  <si>
    <t xml:space="preserve">Electrical item OBS-021 — sample text</t>
  </si>
  <si>
    <t xml:space="preserve">OBS-022</t>
  </si>
  <si>
    <t xml:space="preserve">Electrical item OBS-022 — sample text</t>
  </si>
  <si>
    <t xml:space="preserve">OBS-023</t>
  </si>
  <si>
    <t xml:space="preserve">Electrical item OBS-023 — sample text</t>
  </si>
  <si>
    <t xml:space="preserve">OBS-024</t>
  </si>
  <si>
    <t xml:space="preserve">Electrical item OBS-024 — sample text</t>
  </si>
  <si>
    <t xml:space="preserve">OBS-025</t>
  </si>
  <si>
    <t xml:space="preserve">Electrical item OBS-025 — sample text</t>
  </si>
  <si>
    <t xml:space="preserve">OBS-026</t>
  </si>
  <si>
    <t xml:space="preserve">Granite Civils</t>
  </si>
  <si>
    <t xml:space="preserve">Civil item OBS-026 — sample text</t>
  </si>
  <si>
    <t xml:space="preserve">OBS-027</t>
  </si>
  <si>
    <t xml:space="preserve">Civil item OBS-027 — sample text</t>
  </si>
  <si>
    <t xml:space="preserve">OBS-028</t>
  </si>
  <si>
    <t xml:space="preserve">Civil item OBS-028 — sample text</t>
  </si>
  <si>
    <t xml:space="preserve">OBS-029</t>
  </si>
  <si>
    <t xml:space="preserve">Civil item OBS-029 — sample text</t>
  </si>
  <si>
    <t xml:space="preserve">OBS-030</t>
  </si>
  <si>
    <t xml:space="preserve">Civil item OBS-030 — sample text</t>
  </si>
  <si>
    <t xml:space="preserve">OBS-031</t>
  </si>
  <si>
    <t xml:space="preserve">Civil item OBS-031 — sample text</t>
  </si>
  <si>
    <t xml:space="preserve">OBS-032</t>
  </si>
  <si>
    <t xml:space="preserve">Beacon BMS</t>
  </si>
  <si>
    <t xml:space="preserve">BMS item OBS-032 — sample text</t>
  </si>
  <si>
    <t xml:space="preserve">OBS-033</t>
  </si>
  <si>
    <t xml:space="preserve">BMS item OBS-033 — sample text</t>
  </si>
  <si>
    <t xml:space="preserve">OBS-034</t>
  </si>
  <si>
    <t xml:space="preserve">BMS item OBS-034 — sample text</t>
  </si>
  <si>
    <t xml:space="preserve">OBS-035</t>
  </si>
  <si>
    <t xml:space="preserve">BMS item OBS-035 — sample text</t>
  </si>
  <si>
    <t xml:space="preserve">OBS-036</t>
  </si>
  <si>
    <t xml:space="preserve">BMS item OBS-036 — sample text</t>
  </si>
  <si>
    <t xml:space="preserve">OBS-037</t>
  </si>
  <si>
    <t xml:space="preserve">BMS item OBS-037 — sample text</t>
  </si>
  <si>
    <t xml:space="preserve">OBS-038</t>
  </si>
  <si>
    <t xml:space="preserve">BMS item OBS-038 — sample text</t>
  </si>
  <si>
    <t xml:space="preserve">OBS-039</t>
  </si>
  <si>
    <t xml:space="preserve">BMS item OBS-039 — sample text</t>
  </si>
  <si>
    <t xml:space="preserve">OBS-040</t>
  </si>
  <si>
    <t xml:space="preserve">Summit Security</t>
  </si>
  <si>
    <t xml:space="preserve">Security item OBS-040 — sample text</t>
  </si>
  <si>
    <t xml:space="preserve">OBS-041</t>
  </si>
  <si>
    <t xml:space="preserve">Security item OBS-041 — sample text</t>
  </si>
  <si>
    <t xml:space="preserve">OBS-042</t>
  </si>
  <si>
    <t xml:space="preserve">Security item OBS-042 — sample text</t>
  </si>
  <si>
    <t xml:space="preserve">OBS-043</t>
  </si>
  <si>
    <t xml:space="preserve">Security item OBS-043 — sample text</t>
  </si>
  <si>
    <t xml:space="preserve">OBS-044</t>
  </si>
  <si>
    <t xml:space="preserve">Security item OBS-044 — sample text</t>
  </si>
  <si>
    <t xml:space="preserve">OBS-045</t>
  </si>
  <si>
    <t xml:space="preserve">Security item OBS-045 — sample text</t>
  </si>
  <si>
    <t xml:space="preserve">OBS-046</t>
  </si>
  <si>
    <t xml:space="preserve">Security item OBS-046 — sample text</t>
  </si>
  <si>
    <t xml:space="preserve">Punch ID</t>
  </si>
  <si>
    <t xml:space="preserve">PL-001</t>
  </si>
  <si>
    <t xml:space="preserve">Mechanical item PL-001 — sample text</t>
  </si>
  <si>
    <t xml:space="preserve">PL-002</t>
  </si>
  <si>
    <t xml:space="preserve">Mechanical item PL-002 — sample text</t>
  </si>
  <si>
    <t xml:space="preserve">PL-003</t>
  </si>
  <si>
    <t xml:space="preserve">Mechanical item PL-003 — sample text</t>
  </si>
  <si>
    <t xml:space="preserve">Ready for Inspection</t>
  </si>
  <si>
    <t xml:space="preserve">PL-004</t>
  </si>
  <si>
    <t xml:space="preserve">Mechanical item PL-004 — sample text</t>
  </si>
  <si>
    <t xml:space="preserve">PL-005</t>
  </si>
  <si>
    <t xml:space="preserve">Mechanical item PL-005 — sample text</t>
  </si>
  <si>
    <t xml:space="preserve">PL-006</t>
  </si>
  <si>
    <t xml:space="preserve">Mechanical item PL-006 — sample text</t>
  </si>
  <si>
    <t xml:space="preserve">PL-007</t>
  </si>
  <si>
    <t xml:space="preserve">Mechanical item PL-007 — sample text</t>
  </si>
  <si>
    <t xml:space="preserve">PL-008</t>
  </si>
  <si>
    <t xml:space="preserve">Mechanical item PL-008 — sample text</t>
  </si>
  <si>
    <t xml:space="preserve">PL-009</t>
  </si>
  <si>
    <t xml:space="preserve">Electrical item PL-009 — sample text</t>
  </si>
  <si>
    <t xml:space="preserve">PL-010</t>
  </si>
  <si>
    <t xml:space="preserve">Electrical item PL-010 — sample text</t>
  </si>
  <si>
    <t xml:space="preserve">PL-011</t>
  </si>
  <si>
    <t xml:space="preserve">Electrical item PL-011 — sample text</t>
  </si>
  <si>
    <t xml:space="preserve">PL-012</t>
  </si>
  <si>
    <t xml:space="preserve">BMS item PL-012 — sample text</t>
  </si>
  <si>
    <t xml:space="preserve">PL-013</t>
  </si>
  <si>
    <t xml:space="preserve">BMS item PL-013 — sample text</t>
  </si>
  <si>
    <t xml:space="preserve">PL-014</t>
  </si>
  <si>
    <t xml:space="preserve">BMS item PL-014 — sample text</t>
  </si>
  <si>
    <t xml:space="preserve">PL-015</t>
  </si>
  <si>
    <t xml:space="preserve">BMS item PL-015 — sample text</t>
  </si>
  <si>
    <t xml:space="preserve">PL-016</t>
  </si>
  <si>
    <t xml:space="preserve">BMS item PL-016 — sample text</t>
  </si>
  <si>
    <t xml:space="preserve">PL-017</t>
  </si>
  <si>
    <t xml:space="preserve">BMS item PL-017 — sample text</t>
  </si>
  <si>
    <t xml:space="preserve">PL-018</t>
  </si>
  <si>
    <t xml:space="preserve">BMS item PL-018 — sample text</t>
  </si>
  <si>
    <t xml:space="preserve">PL-019</t>
  </si>
  <si>
    <t xml:space="preserve">BMS item PL-019 — sample text</t>
  </si>
  <si>
    <t xml:space="preserve">PL-020</t>
  </si>
  <si>
    <t xml:space="preserve">Mechanical item PL-020 — sample text</t>
  </si>
  <si>
    <t xml:space="preserve">PL-021</t>
  </si>
  <si>
    <t xml:space="preserve">Mechanical item PL-021 — sample text</t>
  </si>
  <si>
    <t xml:space="preserve">PL-022</t>
  </si>
  <si>
    <t xml:space="preserve">Electrical item PL-022 — sample text</t>
  </si>
  <si>
    <t xml:space="preserve">PL-023</t>
  </si>
  <si>
    <t xml:space="preserve">Fire item PL-023 — sample text</t>
  </si>
  <si>
    <t xml:space="preserve">PL-024</t>
  </si>
  <si>
    <t xml:space="preserve">Fire item PL-024 — sample text</t>
  </si>
  <si>
    <t xml:space="preserve">PL-025</t>
  </si>
  <si>
    <t xml:space="preserve">Fire item PL-025 — sample text</t>
  </si>
  <si>
    <t xml:space="preserve">PL-026</t>
  </si>
  <si>
    <t xml:space="preserve">Fire item PL-026 — sample text</t>
  </si>
  <si>
    <t xml:space="preserve">PL-027</t>
  </si>
  <si>
    <t xml:space="preserve">Fire item PL-027 — sample text</t>
  </si>
  <si>
    <t xml:space="preserve">PL-028</t>
  </si>
  <si>
    <t xml:space="preserve">Electrical item PL-028 — sample text</t>
  </si>
  <si>
    <t xml:space="preserve">PL-029</t>
  </si>
  <si>
    <t xml:space="preserve">Electrical item PL-029 — sample text</t>
  </si>
  <si>
    <t xml:space="preserve">PL-030</t>
  </si>
  <si>
    <t xml:space="preserve">Civil item PL-030 — sample text</t>
  </si>
  <si>
    <t xml:space="preserve">PL-031</t>
  </si>
  <si>
    <t xml:space="preserve">BMS item PL-031 — sample text</t>
  </si>
  <si>
    <t xml:space="preserve">PL-032</t>
  </si>
  <si>
    <t xml:space="preserve">BMS item PL-032 — sample text</t>
  </si>
  <si>
    <t xml:space="preserve">PL-033</t>
  </si>
  <si>
    <t xml:space="preserve">BMS item PL-033 — sample text</t>
  </si>
  <si>
    <t xml:space="preserve">PL-034</t>
  </si>
  <si>
    <t xml:space="preserve">BMS item PL-034 — sample text</t>
  </si>
  <si>
    <t xml:space="preserve">PL-035</t>
  </si>
  <si>
    <t xml:space="preserve">BMS item PL-035 — sample text</t>
  </si>
  <si>
    <t xml:space="preserve">PL-036</t>
  </si>
  <si>
    <t xml:space="preserve">BMS item PL-036 — sample text</t>
  </si>
  <si>
    <t xml:space="preserve">PL-037</t>
  </si>
  <si>
    <t xml:space="preserve">BMS item PL-037 — sample text</t>
  </si>
  <si>
    <t xml:space="preserve">PL-038</t>
  </si>
  <si>
    <t xml:space="preserve">Security item PL-038 — sample text</t>
  </si>
  <si>
    <t xml:space="preserve">PL-039</t>
  </si>
  <si>
    <t xml:space="preserve">Security item PL-039 — sample text</t>
  </si>
  <si>
    <t xml:space="preserve">PL-040</t>
  </si>
  <si>
    <t xml:space="preserve">Security item PL-040 — sample text</t>
  </si>
  <si>
    <t xml:space="preserve">PL-041</t>
  </si>
  <si>
    <t xml:space="preserve">Security item PL-041 — sample text</t>
  </si>
  <si>
    <t xml:space="preserve">PL-042</t>
  </si>
  <si>
    <t xml:space="preserve">Security item PL-042 — sample text</t>
  </si>
  <si>
    <t xml:space="preserve">Action ID</t>
  </si>
  <si>
    <t xml:space="preserve">Type</t>
  </si>
  <si>
    <t xml:space="preserve">Description</t>
  </si>
  <si>
    <t xml:space="preserve">ACT-001</t>
  </si>
  <si>
    <t xml:space="preserve">Action</t>
  </si>
  <si>
    <t xml:space="preserve">Action item ACT-001 — sample text</t>
  </si>
  <si>
    <t xml:space="preserve">ACT-002</t>
  </si>
  <si>
    <t xml:space="preserve">Decision</t>
  </si>
  <si>
    <t xml:space="preserve">Decision item ACT-002 — sample text</t>
  </si>
  <si>
    <t xml:space="preserve">Cancelled</t>
  </si>
  <si>
    <t xml:space="preserve">ACT-003</t>
  </si>
  <si>
    <t xml:space="preserve">Risk</t>
  </si>
  <si>
    <t xml:space="preserve">Risk item ACT-003 — sample text</t>
  </si>
  <si>
    <t xml:space="preserve">ACT-004</t>
  </si>
  <si>
    <t xml:space="preserve">Risk item ACT-004 — sample text</t>
  </si>
  <si>
    <t xml:space="preserve">ACT-005</t>
  </si>
  <si>
    <t xml:space="preserve">Action item ACT-005 — sample text</t>
  </si>
  <si>
    <t xml:space="preserve">ACT-006</t>
  </si>
  <si>
    <t xml:space="preserve">Risk item ACT-006 — sample text</t>
  </si>
  <si>
    <t xml:space="preserve">ACT-007</t>
  </si>
  <si>
    <t xml:space="preserve">Decision item ACT-007 — sample text</t>
  </si>
  <si>
    <t xml:space="preserve">ACT-008</t>
  </si>
  <si>
    <t xml:space="preserve">Decision item ACT-008 — sample text</t>
  </si>
  <si>
    <t xml:space="preserve">ACT-009</t>
  </si>
  <si>
    <t xml:space="preserve">Action item ACT-009 — sample text</t>
  </si>
  <si>
    <t xml:space="preserve">ACT-010</t>
  </si>
  <si>
    <t xml:space="preserve">Decision item ACT-010 — sample text</t>
  </si>
  <si>
    <t xml:space="preserve">ACT-011</t>
  </si>
  <si>
    <t xml:space="preserve">Action item ACT-011 — sample text</t>
  </si>
  <si>
    <t xml:space="preserve">ACT-012</t>
  </si>
  <si>
    <t xml:space="preserve">Risk item ACT-012 — sample text</t>
  </si>
  <si>
    <t xml:space="preserve">ACT-013</t>
  </si>
  <si>
    <t xml:space="preserve">Decision item ACT-013 — sample text</t>
  </si>
  <si>
    <t xml:space="preserve">ACT-014</t>
  </si>
  <si>
    <t xml:space="preserve">Action item ACT-014 — sample text</t>
  </si>
  <si>
    <t xml:space="preserve">ACT-015</t>
  </si>
  <si>
    <t xml:space="preserve">Action item ACT-015 — sample text</t>
  </si>
  <si>
    <t xml:space="preserve">ACT-016</t>
  </si>
  <si>
    <t xml:space="preserve">Action item ACT-016 — sample text</t>
  </si>
  <si>
    <t xml:space="preserve">ACT-017</t>
  </si>
  <si>
    <t xml:space="preserve">Decision item ACT-017 — sample text</t>
  </si>
  <si>
    <t xml:space="preserve">ACT-018</t>
  </si>
  <si>
    <t xml:space="preserve">Risk item ACT-018 — sample text</t>
  </si>
  <si>
    <t xml:space="preserve">ACT-019</t>
  </si>
  <si>
    <t xml:space="preserve">Action item ACT-019 — sample text</t>
  </si>
  <si>
    <t xml:space="preserve">ACT-020</t>
  </si>
  <si>
    <t xml:space="preserve">Decision item ACT-020 — sample text</t>
  </si>
  <si>
    <t xml:space="preserve">ACT-021</t>
  </si>
  <si>
    <t xml:space="preserve">Decision item ACT-021 — sample text</t>
  </si>
  <si>
    <t xml:space="preserve">Complete</t>
  </si>
  <si>
    <t xml:space="preserve">ACT-022</t>
  </si>
  <si>
    <t xml:space="preserve">Action item ACT-022 — sample text</t>
  </si>
  <si>
    <t xml:space="preserve">ACT-023</t>
  </si>
  <si>
    <t xml:space="preserve">Decision item ACT-023 — sample text</t>
  </si>
  <si>
    <t xml:space="preserve">ACT-024</t>
  </si>
  <si>
    <t xml:space="preserve">Decision item ACT-024 — sample text</t>
  </si>
  <si>
    <t xml:space="preserve">ACT-025</t>
  </si>
  <si>
    <t xml:space="preserve">Decision item ACT-025 — sample text</t>
  </si>
  <si>
    <t xml:space="preserve">ACT-026</t>
  </si>
  <si>
    <t xml:space="preserve">Action item ACT-026 — sample text</t>
  </si>
  <si>
    <t xml:space="preserve">ACT-027</t>
  </si>
  <si>
    <t xml:space="preserve">Action item ACT-027 — sample text</t>
  </si>
  <si>
    <t xml:space="preserve">ACT-028</t>
  </si>
  <si>
    <t xml:space="preserve">Decision item ACT-028 — sample text</t>
  </si>
  <si>
    <t xml:space="preserve">ACT-029</t>
  </si>
  <si>
    <t xml:space="preserve">Risk item ACT-029 — sample text</t>
  </si>
  <si>
    <t xml:space="preserve">ACT-030</t>
  </si>
  <si>
    <t xml:space="preserve">Risk item ACT-030 — sample text</t>
  </si>
  <si>
    <t xml:space="preserve">ACT-031</t>
  </si>
  <si>
    <t xml:space="preserve">Decision item ACT-031 — sample text</t>
  </si>
  <si>
    <t xml:space="preserve">ACT-032</t>
  </si>
  <si>
    <t xml:space="preserve">Action item ACT-032 — sample text</t>
  </si>
  <si>
    <t xml:space="preserve">ACT-033</t>
  </si>
  <si>
    <t xml:space="preserve">Decision item ACT-033 — sample text</t>
  </si>
  <si>
    <t xml:space="preserve">ACT-034</t>
  </si>
  <si>
    <t xml:space="preserve">Decision item ACT-034 — sample text</t>
  </si>
  <si>
    <t xml:space="preserve">ACT-035</t>
  </si>
  <si>
    <t xml:space="preserve">Risk item ACT-035 — sample text</t>
  </si>
  <si>
    <t xml:space="preserve">ACT-036</t>
  </si>
  <si>
    <t xml:space="preserve">Decision item ACT-036 — sample text</t>
  </si>
  <si>
    <t xml:space="preserve">ACT-037</t>
  </si>
  <si>
    <t xml:space="preserve">Decision item ACT-037 — sample text</t>
  </si>
  <si>
    <t xml:space="preserve">ACT-038</t>
  </si>
  <si>
    <t xml:space="preserve">Decision item ACT-038 — sample text</t>
  </si>
  <si>
    <t xml:space="preserve">Item ID</t>
  </si>
  <si>
    <t xml:space="preserve">Stage</t>
  </si>
  <si>
    <t xml:space="preserve">QC-001</t>
  </si>
  <si>
    <t xml:space="preserve">FATs</t>
  </si>
  <si>
    <t xml:space="preserve">QC-002</t>
  </si>
  <si>
    <t xml:space="preserve">Tech Sub</t>
  </si>
  <si>
    <t xml:space="preserve">QC-003</t>
  </si>
  <si>
    <t xml:space="preserve">CxA Sign Off</t>
  </si>
  <si>
    <t xml:space="preserve">QC-004</t>
  </si>
  <si>
    <t xml:space="preserve">Pre-Energisation</t>
  </si>
  <si>
    <t xml:space="preserve">QC-005</t>
  </si>
  <si>
    <t xml:space="preserve">QC-006</t>
  </si>
  <si>
    <t xml:space="preserve">Closeout</t>
  </si>
  <si>
    <t xml:space="preserve">QC-007</t>
  </si>
  <si>
    <t xml:space="preserve">QC-008</t>
  </si>
  <si>
    <t xml:space="preserve">QC-009</t>
  </si>
  <si>
    <t xml:space="preserve">QC-010</t>
  </si>
  <si>
    <t xml:space="preserve">QC-011</t>
  </si>
  <si>
    <t xml:space="preserve">QC-012</t>
  </si>
  <si>
    <t xml:space="preserve">QC-013</t>
  </si>
  <si>
    <t xml:space="preserve">As Built</t>
  </si>
  <si>
    <t xml:space="preserve">QC-014</t>
  </si>
  <si>
    <t xml:space="preserve">QC-015</t>
  </si>
  <si>
    <t xml:space="preserve">QC-016</t>
  </si>
  <si>
    <t xml:space="preserve">QC-017</t>
  </si>
  <si>
    <t xml:space="preserve">Power On Request</t>
  </si>
  <si>
    <t xml:space="preserve">QC-018</t>
  </si>
  <si>
    <t xml:space="preserve">QC-019</t>
  </si>
  <si>
    <t xml:space="preserve">QC-020</t>
  </si>
  <si>
    <t xml:space="preserve">QC-021</t>
  </si>
  <si>
    <t xml:space="preserve">QC-022</t>
  </si>
  <si>
    <t xml:space="preserve">QC-023</t>
  </si>
  <si>
    <t xml:space="preserve">QC-024</t>
  </si>
  <si>
    <t xml:space="preserve">QC-025</t>
  </si>
  <si>
    <t xml:space="preserve">QC-026</t>
  </si>
  <si>
    <t xml:space="preserve">QC-027</t>
  </si>
  <si>
    <t xml:space="preserve">QC-028</t>
  </si>
  <si>
    <t xml:space="preserve">QC-029</t>
  </si>
  <si>
    <t xml:space="preserve">QC-030</t>
  </si>
  <si>
    <t xml:space="preserve">QC-031</t>
  </si>
  <si>
    <t xml:space="preserve">QC-032</t>
  </si>
  <si>
    <t xml:space="preserve">QC-033</t>
  </si>
  <si>
    <t xml:space="preserve">QC-034</t>
  </si>
  <si>
    <t xml:space="preserve">QC-035</t>
  </si>
  <si>
    <t xml:space="preserve">QC-036</t>
  </si>
  <si>
    <t xml:space="preserve">QC-037</t>
  </si>
  <si>
    <t xml:space="preserve">QC-038</t>
  </si>
  <si>
    <t xml:space="preserve">QC-039</t>
  </si>
  <si>
    <t xml:space="preserve">QC-040</t>
  </si>
  <si>
    <t xml:space="preserve">QC-041</t>
  </si>
  <si>
    <t xml:space="preserve">QC-042</t>
  </si>
  <si>
    <t xml:space="preserve">QC-043</t>
  </si>
  <si>
    <t xml:space="preserve">QC-044</t>
  </si>
  <si>
    <t xml:space="preserve">QC-045</t>
  </si>
  <si>
    <t xml:space="preserve">QC-046</t>
  </si>
  <si>
    <t xml:space="preserve">QC-047</t>
  </si>
  <si>
    <t xml:space="preserve">QC-048</t>
  </si>
  <si>
    <t xml:space="preserve">QC-049</t>
  </si>
  <si>
    <t xml:space="preserve">QC-050</t>
  </si>
  <si>
    <t xml:space="preserve">QC-051</t>
  </si>
  <si>
    <t xml:space="preserve">QC-052</t>
  </si>
  <si>
    <t xml:space="preserve">Open Obs</t>
  </si>
  <si>
    <t xml:space="preserve">Open Punch</t>
  </si>
  <si>
    <t xml:space="preserve">Open Actions</t>
  </si>
  <si>
    <t xml:space="preserve">Overdue Obs</t>
  </si>
  <si>
    <t xml:space="preserve">Overdue Punch</t>
  </si>
  <si>
    <t xml:space="preserve">Overdue Actions</t>
  </si>
  <si>
    <t xml:space="preserve">Overdue QAQC/Cx</t>
  </si>
  <si>
    <t xml:space="preserve">Total Open</t>
  </si>
  <si>
    <t xml:space="preserve">Total Overdue</t>
  </si>
  <si>
    <t xml:space="preserve">RAG</t>
  </si>
  <si>
    <t xml:space="preserve">Notes</t>
  </si>
  <si>
    <t xml:space="preserve">Obs_Status</t>
  </si>
  <si>
    <t xml:space="preserve">Punch_Status</t>
  </si>
  <si>
    <t xml:space="preserve">Action_Status</t>
  </si>
  <si>
    <t xml:space="preserve">GREEN</t>
  </si>
  <si>
    <t xml:space="preserve">AMBER</t>
  </si>
  <si>
    <t xml:space="preserve">RED</t>
  </si>
  <si>
    <t xml:space="preserve">RAG thresholds (Total Overdue):</t>
  </si>
  <si>
    <t xml:space="preserve">GREEN = 0   |   AMBER = 1-3   |   RED = 4+   (tune to match your real thresholds)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</si>
</sst>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BE2B3"/>
        </patternFill>
      </fill>
    </dxf>
    <dxf>
      <fill>
        <patternFill>
          <bgColor rgb="FFC6E7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6"/>
      <rgbColor rgb="FFFFFF99"/>
      <rgbColor rgb="FF99CCFF"/>
      <rgbColor rgb="FFF4B6B6"/>
      <rgbColor rgb="FFCC99FF"/>
      <rgbColor rgb="FFFBE2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n">
        <v>0</v>
      </c>
    </row>
    <row r="3" customFormat="false" ht="1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33</v>
      </c>
      <c r="E3" s="4" t="s">
        <v>26</v>
      </c>
      <c r="F3" s="4" t="s">
        <v>34</v>
      </c>
      <c r="G3" s="4" t="s">
        <v>28</v>
      </c>
      <c r="H3" s="4" t="s">
        <v>29</v>
      </c>
      <c r="I3" s="4" t="n">
        <v>0</v>
      </c>
    </row>
    <row r="4" customFormat="false" ht="15" hidden="false" customHeight="false" outlineLevel="0" collapsed="false">
      <c r="A4" s="4" t="s">
        <v>35</v>
      </c>
      <c r="B4" s="4" t="s">
        <v>31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28</v>
      </c>
      <c r="H4" s="4" t="s">
        <v>29</v>
      </c>
      <c r="I4" s="4" t="n">
        <v>0</v>
      </c>
    </row>
    <row r="5" customFormat="false" ht="15" hidden="false" customHeight="false" outlineLevel="0" collapsed="false">
      <c r="A5" s="4" t="s">
        <v>40</v>
      </c>
      <c r="B5" s="4" t="s">
        <v>31</v>
      </c>
      <c r="C5" s="4" t="s">
        <v>41</v>
      </c>
      <c r="D5" s="4" t="s">
        <v>42</v>
      </c>
      <c r="E5" s="4" t="s">
        <v>26</v>
      </c>
      <c r="F5" s="4" t="s">
        <v>34</v>
      </c>
      <c r="G5" s="4" t="s">
        <v>28</v>
      </c>
      <c r="H5" s="4" t="s">
        <v>29</v>
      </c>
      <c r="I5" s="4" t="n">
        <v>0</v>
      </c>
    </row>
    <row r="6" customFormat="false" ht="15" hidden="false" customHeight="false" outlineLevel="0" collapsed="false">
      <c r="A6" s="4" t="s">
        <v>43</v>
      </c>
      <c r="B6" s="4" t="s">
        <v>31</v>
      </c>
      <c r="C6" s="4" t="s">
        <v>44</v>
      </c>
      <c r="D6" s="4" t="s">
        <v>45</v>
      </c>
      <c r="E6" s="4" t="s">
        <v>46</v>
      </c>
      <c r="F6" s="4" t="s">
        <v>34</v>
      </c>
      <c r="G6" s="4" t="s">
        <v>28</v>
      </c>
      <c r="H6" s="4" t="s">
        <v>29</v>
      </c>
      <c r="I6" s="4" t="n">
        <v>0</v>
      </c>
    </row>
    <row r="7" customFormat="false" ht="15" hidden="false" customHeight="false" outlineLevel="0" collapsed="false">
      <c r="A7" s="4" t="s">
        <v>47</v>
      </c>
      <c r="B7" s="4" t="s">
        <v>31</v>
      </c>
      <c r="C7" s="4" t="s">
        <v>48</v>
      </c>
      <c r="D7" s="4" t="s">
        <v>49</v>
      </c>
      <c r="E7" s="4" t="s">
        <v>26</v>
      </c>
      <c r="F7" s="4" t="s">
        <v>27</v>
      </c>
      <c r="G7" s="4" t="s">
        <v>28</v>
      </c>
      <c r="H7" s="4" t="s">
        <v>29</v>
      </c>
      <c r="I7" s="4" t="n">
        <v>0</v>
      </c>
    </row>
    <row r="8" customFormat="false" ht="15" hidden="false" customHeight="false" outlineLevel="0" collapsed="false">
      <c r="A8" s="4" t="s">
        <v>50</v>
      </c>
      <c r="B8" s="4" t="s">
        <v>31</v>
      </c>
      <c r="C8" s="4" t="s">
        <v>41</v>
      </c>
      <c r="D8" s="4" t="s">
        <v>51</v>
      </c>
      <c r="E8" s="4" t="s">
        <v>26</v>
      </c>
      <c r="F8" s="4" t="s">
        <v>27</v>
      </c>
      <c r="G8" s="4" t="s">
        <v>28</v>
      </c>
      <c r="H8" s="4" t="s">
        <v>29</v>
      </c>
      <c r="I8" s="4" t="n">
        <v>0</v>
      </c>
    </row>
    <row r="9" customFormat="false" ht="15" hidden="false" customHeight="false" outlineLevel="0" collapsed="false">
      <c r="A9" s="4" t="s">
        <v>52</v>
      </c>
      <c r="B9" s="4" t="s">
        <v>31</v>
      </c>
      <c r="C9" s="4" t="s">
        <v>48</v>
      </c>
      <c r="D9" s="4" t="s">
        <v>53</v>
      </c>
      <c r="E9" s="4" t="s">
        <v>54</v>
      </c>
      <c r="F9" s="4" t="s">
        <v>27</v>
      </c>
      <c r="G9" s="4" t="s">
        <v>28</v>
      </c>
      <c r="H9" s="4" t="s">
        <v>29</v>
      </c>
      <c r="I9" s="4" t="n">
        <v>0</v>
      </c>
    </row>
    <row r="10" customFormat="false" ht="15" hidden="false" customHeight="false" outlineLevel="0" collapsed="false">
      <c r="A10" s="4" t="s">
        <v>55</v>
      </c>
      <c r="B10" s="4" t="s">
        <v>31</v>
      </c>
      <c r="C10" s="4" t="s">
        <v>56</v>
      </c>
      <c r="D10" s="4" t="s">
        <v>57</v>
      </c>
      <c r="E10" s="4" t="s">
        <v>46</v>
      </c>
      <c r="F10" s="4" t="s">
        <v>34</v>
      </c>
      <c r="G10" s="4" t="s">
        <v>28</v>
      </c>
      <c r="H10" s="4" t="s">
        <v>29</v>
      </c>
      <c r="I10" s="4" t="n">
        <v>0</v>
      </c>
    </row>
    <row r="11" customFormat="false" ht="15" hidden="false" customHeight="false" outlineLevel="0" collapsed="false">
      <c r="A11" s="4" t="s">
        <v>58</v>
      </c>
      <c r="B11" s="4" t="s">
        <v>59</v>
      </c>
      <c r="C11" s="4" t="s">
        <v>32</v>
      </c>
      <c r="D11" s="4" t="s">
        <v>60</v>
      </c>
      <c r="E11" s="4" t="s">
        <v>38</v>
      </c>
      <c r="F11" s="4" t="s">
        <v>34</v>
      </c>
      <c r="G11" s="4" t="s">
        <v>28</v>
      </c>
      <c r="H11" s="4" t="s">
        <v>29</v>
      </c>
      <c r="I11" s="4" t="n">
        <v>0</v>
      </c>
    </row>
    <row r="12" customFormat="false" ht="15" hidden="false" customHeight="false" outlineLevel="0" collapsed="false">
      <c r="A12" s="4" t="s">
        <v>61</v>
      </c>
      <c r="B12" s="4" t="s">
        <v>62</v>
      </c>
      <c r="C12" s="4" t="s">
        <v>24</v>
      </c>
      <c r="D12" s="4" t="s">
        <v>63</v>
      </c>
      <c r="E12" s="4" t="s">
        <v>26</v>
      </c>
      <c r="F12" s="4" t="s">
        <v>64</v>
      </c>
      <c r="G12" s="4" t="s">
        <v>28</v>
      </c>
      <c r="H12" s="4" t="s">
        <v>29</v>
      </c>
      <c r="I12" s="4" t="n">
        <v>0</v>
      </c>
    </row>
    <row r="13" customFormat="false" ht="15" hidden="false" customHeight="false" outlineLevel="0" collapsed="false">
      <c r="A13" s="4" t="s">
        <v>65</v>
      </c>
      <c r="B13" s="4" t="s">
        <v>66</v>
      </c>
      <c r="C13" s="4" t="s">
        <v>56</v>
      </c>
      <c r="D13" s="4" t="s">
        <v>67</v>
      </c>
      <c r="E13" s="4" t="s">
        <v>26</v>
      </c>
      <c r="F13" s="4" t="s">
        <v>34</v>
      </c>
      <c r="G13" s="4" t="s">
        <v>28</v>
      </c>
      <c r="H13" s="4" t="s">
        <v>29</v>
      </c>
      <c r="I13" s="4" t="n">
        <v>0</v>
      </c>
    </row>
    <row r="14" customFormat="false" ht="15" hidden="false" customHeight="false" outlineLevel="0" collapsed="false">
      <c r="A14" s="4" t="s">
        <v>68</v>
      </c>
      <c r="B14" s="4" t="s">
        <v>66</v>
      </c>
      <c r="C14" s="4" t="s">
        <v>48</v>
      </c>
      <c r="D14" s="4" t="s">
        <v>69</v>
      </c>
      <c r="E14" s="4" t="s">
        <v>38</v>
      </c>
      <c r="F14" s="4" t="s">
        <v>64</v>
      </c>
      <c r="G14" s="4" t="s">
        <v>28</v>
      </c>
      <c r="H14" s="4" t="s">
        <v>29</v>
      </c>
      <c r="I14" s="4" t="n">
        <v>11</v>
      </c>
    </row>
    <row r="15" customFormat="false" ht="15" hidden="false" customHeight="false" outlineLevel="0" collapsed="false">
      <c r="A15" s="4" t="s">
        <v>70</v>
      </c>
      <c r="B15" s="4" t="s">
        <v>66</v>
      </c>
      <c r="C15" s="4" t="s">
        <v>36</v>
      </c>
      <c r="D15" s="4" t="s">
        <v>71</v>
      </c>
      <c r="E15" s="4" t="s">
        <v>54</v>
      </c>
      <c r="F15" s="4" t="s">
        <v>64</v>
      </c>
      <c r="G15" s="4" t="s">
        <v>28</v>
      </c>
      <c r="H15" s="4" t="s">
        <v>29</v>
      </c>
      <c r="I15" s="4" t="n">
        <v>0</v>
      </c>
    </row>
    <row r="16" customFormat="false" ht="15" hidden="false" customHeight="false" outlineLevel="0" collapsed="false">
      <c r="A16" s="4" t="s">
        <v>72</v>
      </c>
      <c r="B16" s="4" t="s">
        <v>66</v>
      </c>
      <c r="C16" s="4" t="s">
        <v>24</v>
      </c>
      <c r="D16" s="4" t="s">
        <v>73</v>
      </c>
      <c r="E16" s="4" t="s">
        <v>54</v>
      </c>
      <c r="F16" s="4" t="s">
        <v>27</v>
      </c>
      <c r="G16" s="4" t="s">
        <v>28</v>
      </c>
      <c r="H16" s="4" t="s">
        <v>29</v>
      </c>
      <c r="I16" s="4" t="n">
        <v>0</v>
      </c>
    </row>
    <row r="17" customFormat="false" ht="15" hidden="false" customHeight="false" outlineLevel="0" collapsed="false">
      <c r="A17" s="4" t="s">
        <v>74</v>
      </c>
      <c r="B17" s="4" t="s">
        <v>66</v>
      </c>
      <c r="C17" s="4" t="s">
        <v>44</v>
      </c>
      <c r="D17" s="4" t="s">
        <v>75</v>
      </c>
      <c r="E17" s="4" t="s">
        <v>46</v>
      </c>
      <c r="F17" s="4" t="s">
        <v>27</v>
      </c>
      <c r="G17" s="4" t="s">
        <v>28</v>
      </c>
      <c r="H17" s="4" t="s">
        <v>29</v>
      </c>
      <c r="I17" s="4" t="n">
        <v>0</v>
      </c>
    </row>
    <row r="18" customFormat="false" ht="15" hidden="false" customHeight="false" outlineLevel="0" collapsed="false">
      <c r="A18" s="4" t="s">
        <v>76</v>
      </c>
      <c r="B18" s="4" t="s">
        <v>77</v>
      </c>
      <c r="C18" s="4" t="s">
        <v>24</v>
      </c>
      <c r="D18" s="4" t="s">
        <v>78</v>
      </c>
      <c r="E18" s="4" t="s">
        <v>46</v>
      </c>
      <c r="F18" s="4" t="s">
        <v>39</v>
      </c>
      <c r="G18" s="4" t="s">
        <v>28</v>
      </c>
      <c r="H18" s="4" t="s">
        <v>29</v>
      </c>
      <c r="I18" s="4" t="n">
        <v>0</v>
      </c>
    </row>
    <row r="19" customFormat="false" ht="15" hidden="false" customHeight="false" outlineLevel="0" collapsed="false">
      <c r="A19" s="4" t="s">
        <v>79</v>
      </c>
      <c r="B19" s="4" t="s">
        <v>77</v>
      </c>
      <c r="C19" s="4" t="s">
        <v>24</v>
      </c>
      <c r="D19" s="4" t="s">
        <v>80</v>
      </c>
      <c r="E19" s="4" t="s">
        <v>26</v>
      </c>
      <c r="F19" s="4" t="s">
        <v>34</v>
      </c>
      <c r="G19" s="4" t="s">
        <v>28</v>
      </c>
      <c r="H19" s="4" t="s">
        <v>29</v>
      </c>
      <c r="I19" s="4" t="n">
        <v>0</v>
      </c>
    </row>
    <row r="20" customFormat="false" ht="15" hidden="false" customHeight="false" outlineLevel="0" collapsed="false">
      <c r="A20" s="4" t="s">
        <v>81</v>
      </c>
      <c r="B20" s="4" t="s">
        <v>77</v>
      </c>
      <c r="C20" s="4" t="s">
        <v>36</v>
      </c>
      <c r="D20" s="4" t="s">
        <v>82</v>
      </c>
      <c r="E20" s="4" t="s">
        <v>46</v>
      </c>
      <c r="F20" s="4" t="s">
        <v>39</v>
      </c>
      <c r="G20" s="4" t="s">
        <v>28</v>
      </c>
      <c r="H20" s="4" t="s">
        <v>29</v>
      </c>
      <c r="I20" s="4" t="n">
        <v>0</v>
      </c>
    </row>
    <row r="21" customFormat="false" ht="15" hidden="false" customHeight="false" outlineLevel="0" collapsed="false">
      <c r="A21" s="4" t="s">
        <v>83</v>
      </c>
      <c r="B21" s="4" t="s">
        <v>84</v>
      </c>
      <c r="C21" s="4" t="s">
        <v>32</v>
      </c>
      <c r="D21" s="4" t="s">
        <v>85</v>
      </c>
      <c r="E21" s="4" t="s">
        <v>38</v>
      </c>
      <c r="F21" s="4" t="s">
        <v>27</v>
      </c>
      <c r="G21" s="4" t="s">
        <v>28</v>
      </c>
      <c r="H21" s="4" t="s">
        <v>29</v>
      </c>
      <c r="I21" s="4" t="n">
        <v>33</v>
      </c>
    </row>
    <row r="22" customFormat="false" ht="15" hidden="false" customHeight="false" outlineLevel="0" collapsed="false">
      <c r="A22" s="4" t="s">
        <v>86</v>
      </c>
      <c r="B22" s="4" t="s">
        <v>84</v>
      </c>
      <c r="C22" s="4" t="s">
        <v>36</v>
      </c>
      <c r="D22" s="4" t="s">
        <v>87</v>
      </c>
      <c r="E22" s="4" t="s">
        <v>54</v>
      </c>
      <c r="F22" s="4" t="s">
        <v>34</v>
      </c>
      <c r="G22" s="4" t="s">
        <v>28</v>
      </c>
      <c r="H22" s="4" t="s">
        <v>29</v>
      </c>
      <c r="I22" s="4" t="n">
        <v>0</v>
      </c>
    </row>
    <row r="23" customFormat="false" ht="15" hidden="false" customHeight="false" outlineLevel="0" collapsed="false">
      <c r="A23" s="4" t="s">
        <v>88</v>
      </c>
      <c r="B23" s="4" t="s">
        <v>84</v>
      </c>
      <c r="C23" s="4" t="s">
        <v>56</v>
      </c>
      <c r="D23" s="4" t="s">
        <v>89</v>
      </c>
      <c r="E23" s="4" t="s">
        <v>46</v>
      </c>
      <c r="F23" s="4" t="s">
        <v>27</v>
      </c>
      <c r="G23" s="4" t="s">
        <v>28</v>
      </c>
      <c r="H23" s="4" t="s">
        <v>29</v>
      </c>
      <c r="I23" s="4" t="n">
        <v>0</v>
      </c>
    </row>
    <row r="24" customFormat="false" ht="15" hidden="false" customHeight="false" outlineLevel="0" collapsed="false">
      <c r="A24" s="4" t="s">
        <v>90</v>
      </c>
      <c r="B24" s="4" t="s">
        <v>84</v>
      </c>
      <c r="C24" s="4" t="s">
        <v>56</v>
      </c>
      <c r="D24" s="4" t="s">
        <v>91</v>
      </c>
      <c r="E24" s="4" t="s">
        <v>26</v>
      </c>
      <c r="F24" s="4" t="s">
        <v>27</v>
      </c>
      <c r="G24" s="4" t="s">
        <v>28</v>
      </c>
      <c r="H24" s="4" t="s">
        <v>29</v>
      </c>
      <c r="I24" s="4" t="n">
        <v>0</v>
      </c>
    </row>
    <row r="25" customFormat="false" ht="15" hidden="false" customHeight="false" outlineLevel="0" collapsed="false">
      <c r="A25" s="4" t="s">
        <v>92</v>
      </c>
      <c r="B25" s="4" t="s">
        <v>84</v>
      </c>
      <c r="C25" s="4" t="s">
        <v>36</v>
      </c>
      <c r="D25" s="4" t="s">
        <v>93</v>
      </c>
      <c r="E25" s="4" t="s">
        <v>54</v>
      </c>
      <c r="F25" s="4" t="s">
        <v>64</v>
      </c>
      <c r="G25" s="4" t="s">
        <v>28</v>
      </c>
      <c r="H25" s="4" t="s">
        <v>29</v>
      </c>
      <c r="I25" s="4" t="n">
        <v>0</v>
      </c>
    </row>
    <row r="26" customFormat="false" ht="15" hidden="false" customHeight="false" outlineLevel="0" collapsed="false">
      <c r="A26" s="4" t="s">
        <v>94</v>
      </c>
      <c r="B26" s="4" t="s">
        <v>84</v>
      </c>
      <c r="C26" s="4" t="s">
        <v>32</v>
      </c>
      <c r="D26" s="4" t="s">
        <v>95</v>
      </c>
      <c r="E26" s="4" t="s">
        <v>46</v>
      </c>
      <c r="F26" s="4" t="s">
        <v>64</v>
      </c>
      <c r="G26" s="4" t="s">
        <v>28</v>
      </c>
      <c r="H26" s="4" t="s">
        <v>29</v>
      </c>
      <c r="I26" s="4" t="n">
        <v>0</v>
      </c>
    </row>
    <row r="27" customFormat="false" ht="15" hidden="false" customHeight="false" outlineLevel="0" collapsed="false">
      <c r="A27" s="4" t="s">
        <v>96</v>
      </c>
      <c r="B27" s="4" t="s">
        <v>97</v>
      </c>
      <c r="C27" s="4" t="s">
        <v>56</v>
      </c>
      <c r="D27" s="4" t="s">
        <v>98</v>
      </c>
      <c r="E27" s="4" t="s">
        <v>38</v>
      </c>
      <c r="F27" s="4" t="s">
        <v>34</v>
      </c>
      <c r="G27" s="4" t="s">
        <v>28</v>
      </c>
      <c r="H27" s="4" t="s">
        <v>29</v>
      </c>
      <c r="I27" s="4" t="n">
        <v>0</v>
      </c>
    </row>
    <row r="28" customFormat="false" ht="15" hidden="false" customHeight="false" outlineLevel="0" collapsed="false">
      <c r="A28" s="4" t="s">
        <v>99</v>
      </c>
      <c r="B28" s="4" t="s">
        <v>97</v>
      </c>
      <c r="C28" s="4" t="s">
        <v>41</v>
      </c>
      <c r="D28" s="4" t="s">
        <v>100</v>
      </c>
      <c r="E28" s="4" t="s">
        <v>38</v>
      </c>
      <c r="F28" s="4" t="s">
        <v>34</v>
      </c>
      <c r="G28" s="4" t="s">
        <v>28</v>
      </c>
      <c r="H28" s="4" t="s">
        <v>29</v>
      </c>
      <c r="I28" s="4" t="n">
        <v>0</v>
      </c>
    </row>
    <row r="29" customFormat="false" ht="15" hidden="false" customHeight="false" outlineLevel="0" collapsed="false">
      <c r="A29" s="4" t="s">
        <v>101</v>
      </c>
      <c r="B29" s="4" t="s">
        <v>97</v>
      </c>
      <c r="C29" s="4" t="s">
        <v>56</v>
      </c>
      <c r="D29" s="4" t="s">
        <v>102</v>
      </c>
      <c r="E29" s="4" t="s">
        <v>38</v>
      </c>
      <c r="F29" s="4" t="s">
        <v>64</v>
      </c>
      <c r="G29" s="4" t="s">
        <v>28</v>
      </c>
      <c r="H29" s="4" t="s">
        <v>29</v>
      </c>
      <c r="I29" s="4" t="n">
        <v>0</v>
      </c>
    </row>
    <row r="30" customFormat="false" ht="15" hidden="false" customHeight="false" outlineLevel="0" collapsed="false">
      <c r="A30" s="4" t="s">
        <v>103</v>
      </c>
      <c r="B30" s="4" t="s">
        <v>97</v>
      </c>
      <c r="C30" s="4" t="s">
        <v>41</v>
      </c>
      <c r="D30" s="4" t="s">
        <v>104</v>
      </c>
      <c r="E30" s="4" t="s">
        <v>38</v>
      </c>
      <c r="F30" s="4" t="s">
        <v>64</v>
      </c>
      <c r="G30" s="4" t="s">
        <v>28</v>
      </c>
      <c r="H30" s="4" t="s">
        <v>29</v>
      </c>
      <c r="I30" s="4" t="n">
        <v>0</v>
      </c>
    </row>
    <row r="31" customFormat="false" ht="15" hidden="false" customHeight="false" outlineLevel="0" collapsed="false">
      <c r="A31" s="4" t="s">
        <v>105</v>
      </c>
      <c r="B31" s="4" t="s">
        <v>97</v>
      </c>
      <c r="C31" s="4" t="s">
        <v>32</v>
      </c>
      <c r="D31" s="4" t="s">
        <v>106</v>
      </c>
      <c r="E31" s="4" t="s">
        <v>38</v>
      </c>
      <c r="F31" s="4" t="s">
        <v>39</v>
      </c>
      <c r="G31" s="4" t="s">
        <v>28</v>
      </c>
      <c r="H31" s="4" t="s">
        <v>29</v>
      </c>
      <c r="I31" s="4" t="n">
        <v>0</v>
      </c>
    </row>
    <row r="32" customFormat="false" ht="15" hidden="false" customHeight="false" outlineLevel="0" collapsed="false">
      <c r="A32" s="4" t="s">
        <v>107</v>
      </c>
      <c r="B32" s="4" t="s">
        <v>97</v>
      </c>
      <c r="C32" s="4" t="s">
        <v>24</v>
      </c>
      <c r="D32" s="4" t="s">
        <v>108</v>
      </c>
      <c r="E32" s="4" t="s">
        <v>54</v>
      </c>
      <c r="F32" s="4" t="s">
        <v>39</v>
      </c>
      <c r="G32" s="4" t="s">
        <v>28</v>
      </c>
      <c r="H32" s="4" t="s">
        <v>29</v>
      </c>
      <c r="I32" s="4" t="n">
        <v>0</v>
      </c>
    </row>
    <row r="33" customFormat="false" ht="15" hidden="false" customHeight="false" outlineLevel="0" collapsed="false">
      <c r="A33" s="4" t="s">
        <v>109</v>
      </c>
      <c r="B33" s="4" t="s">
        <v>110</v>
      </c>
      <c r="C33" s="4" t="s">
        <v>36</v>
      </c>
      <c r="D33" s="4" t="s">
        <v>111</v>
      </c>
      <c r="E33" s="4" t="s">
        <v>26</v>
      </c>
      <c r="F33" s="4" t="s">
        <v>64</v>
      </c>
      <c r="G33" s="4" t="s">
        <v>28</v>
      </c>
      <c r="H33" s="4" t="s">
        <v>29</v>
      </c>
      <c r="I33" s="4" t="n">
        <v>0</v>
      </c>
    </row>
    <row r="34" customFormat="false" ht="15" hidden="false" customHeight="false" outlineLevel="0" collapsed="false">
      <c r="A34" s="4" t="s">
        <v>112</v>
      </c>
      <c r="B34" s="4" t="s">
        <v>110</v>
      </c>
      <c r="C34" s="4" t="s">
        <v>32</v>
      </c>
      <c r="D34" s="4" t="s">
        <v>113</v>
      </c>
      <c r="E34" s="4" t="s">
        <v>26</v>
      </c>
      <c r="F34" s="4" t="s">
        <v>34</v>
      </c>
      <c r="G34" s="4" t="s">
        <v>28</v>
      </c>
      <c r="H34" s="4" t="s">
        <v>29</v>
      </c>
      <c r="I34" s="4" t="n">
        <v>29</v>
      </c>
    </row>
    <row r="35" customFormat="false" ht="15" hidden="false" customHeight="false" outlineLevel="0" collapsed="false">
      <c r="A35" s="4" t="s">
        <v>114</v>
      </c>
      <c r="B35" s="4" t="s">
        <v>110</v>
      </c>
      <c r="C35" s="4" t="s">
        <v>56</v>
      </c>
      <c r="D35" s="4" t="s">
        <v>115</v>
      </c>
      <c r="E35" s="4" t="s">
        <v>26</v>
      </c>
      <c r="F35" s="4" t="s">
        <v>34</v>
      </c>
      <c r="G35" s="4" t="s">
        <v>28</v>
      </c>
      <c r="H35" s="4" t="s">
        <v>29</v>
      </c>
      <c r="I35" s="4" t="n">
        <v>0</v>
      </c>
    </row>
    <row r="36" customFormat="false" ht="15" hidden="false" customHeight="false" outlineLevel="0" collapsed="false">
      <c r="A36" s="4" t="s">
        <v>116</v>
      </c>
      <c r="B36" s="4" t="s">
        <v>110</v>
      </c>
      <c r="C36" s="4" t="s">
        <v>32</v>
      </c>
      <c r="D36" s="4" t="s">
        <v>117</v>
      </c>
      <c r="E36" s="4" t="s">
        <v>38</v>
      </c>
      <c r="F36" s="4" t="s">
        <v>64</v>
      </c>
      <c r="G36" s="4" t="s">
        <v>28</v>
      </c>
      <c r="H36" s="4" t="s">
        <v>29</v>
      </c>
      <c r="I36" s="4" t="n">
        <v>0</v>
      </c>
    </row>
    <row r="37" customFormat="false" ht="15" hidden="false" customHeight="false" outlineLevel="0" collapsed="false">
      <c r="A37" s="4" t="s">
        <v>118</v>
      </c>
      <c r="B37" s="4" t="s">
        <v>110</v>
      </c>
      <c r="C37" s="4" t="s">
        <v>24</v>
      </c>
      <c r="D37" s="4" t="s">
        <v>119</v>
      </c>
      <c r="E37" s="4" t="s">
        <v>38</v>
      </c>
      <c r="F37" s="4" t="s">
        <v>34</v>
      </c>
      <c r="G37" s="4" t="s">
        <v>28</v>
      </c>
      <c r="H37" s="4" t="s">
        <v>29</v>
      </c>
      <c r="I37" s="4" t="n">
        <v>18</v>
      </c>
    </row>
    <row r="38" customFormat="false" ht="15" hidden="false" customHeight="false" outlineLevel="0" collapsed="false">
      <c r="A38" s="4" t="s">
        <v>120</v>
      </c>
      <c r="B38" s="4" t="s">
        <v>110</v>
      </c>
      <c r="C38" s="4" t="s">
        <v>24</v>
      </c>
      <c r="D38" s="4" t="s">
        <v>121</v>
      </c>
      <c r="E38" s="4" t="s">
        <v>46</v>
      </c>
      <c r="F38" s="4" t="s">
        <v>39</v>
      </c>
      <c r="G38" s="4" t="s">
        <v>28</v>
      </c>
      <c r="H38" s="4" t="s">
        <v>29</v>
      </c>
      <c r="I38" s="4" t="n">
        <v>0</v>
      </c>
    </row>
    <row r="39" customFormat="false" ht="15" hidden="false" customHeight="false" outlineLevel="0" collapsed="false">
      <c r="A39" s="4" t="s">
        <v>122</v>
      </c>
      <c r="B39" s="4" t="s">
        <v>110</v>
      </c>
      <c r="C39" s="4" t="s">
        <v>32</v>
      </c>
      <c r="D39" s="4" t="s">
        <v>123</v>
      </c>
      <c r="E39" s="4" t="s">
        <v>54</v>
      </c>
      <c r="F39" s="4" t="s">
        <v>27</v>
      </c>
      <c r="G39" s="4" t="s">
        <v>28</v>
      </c>
      <c r="H39" s="4" t="s">
        <v>29</v>
      </c>
      <c r="I39" s="4" t="n">
        <v>0</v>
      </c>
    </row>
    <row r="40" customFormat="false" ht="15" hidden="false" customHeight="false" outlineLevel="0" collapsed="false">
      <c r="A40" s="4" t="s">
        <v>124</v>
      </c>
      <c r="B40" s="4" t="s">
        <v>110</v>
      </c>
      <c r="C40" s="4" t="s">
        <v>48</v>
      </c>
      <c r="D40" s="4" t="s">
        <v>125</v>
      </c>
      <c r="E40" s="4" t="s">
        <v>46</v>
      </c>
      <c r="F40" s="4" t="s">
        <v>39</v>
      </c>
      <c r="G40" s="4" t="s">
        <v>28</v>
      </c>
      <c r="H40" s="4" t="s">
        <v>29</v>
      </c>
      <c r="I40" s="4" t="n">
        <v>0</v>
      </c>
    </row>
    <row r="41" customFormat="false" ht="15" hidden="false" customHeight="false" outlineLevel="0" collapsed="false">
      <c r="A41" s="4" t="s">
        <v>126</v>
      </c>
      <c r="B41" s="4" t="s">
        <v>127</v>
      </c>
      <c r="C41" s="4" t="s">
        <v>36</v>
      </c>
      <c r="D41" s="4" t="s">
        <v>128</v>
      </c>
      <c r="E41" s="4" t="s">
        <v>54</v>
      </c>
      <c r="F41" s="4" t="s">
        <v>27</v>
      </c>
      <c r="G41" s="4" t="s">
        <v>28</v>
      </c>
      <c r="H41" s="4" t="s">
        <v>29</v>
      </c>
      <c r="I41" s="4" t="n">
        <v>0</v>
      </c>
    </row>
    <row r="42" customFormat="false" ht="15" hidden="false" customHeight="false" outlineLevel="0" collapsed="false">
      <c r="A42" s="4" t="s">
        <v>129</v>
      </c>
      <c r="B42" s="4" t="s">
        <v>127</v>
      </c>
      <c r="C42" s="4" t="s">
        <v>24</v>
      </c>
      <c r="D42" s="4" t="s">
        <v>130</v>
      </c>
      <c r="E42" s="4" t="s">
        <v>26</v>
      </c>
      <c r="F42" s="4" t="s">
        <v>34</v>
      </c>
      <c r="G42" s="4" t="s">
        <v>28</v>
      </c>
      <c r="H42" s="4" t="s">
        <v>29</v>
      </c>
      <c r="I42" s="4" t="n">
        <v>0</v>
      </c>
    </row>
    <row r="43" customFormat="false" ht="15" hidden="false" customHeight="false" outlineLevel="0" collapsed="false">
      <c r="A43" s="4" t="s">
        <v>131</v>
      </c>
      <c r="B43" s="4" t="s">
        <v>127</v>
      </c>
      <c r="C43" s="4" t="s">
        <v>24</v>
      </c>
      <c r="D43" s="4" t="s">
        <v>132</v>
      </c>
      <c r="E43" s="4" t="s">
        <v>26</v>
      </c>
      <c r="F43" s="4" t="s">
        <v>64</v>
      </c>
      <c r="G43" s="4" t="s">
        <v>28</v>
      </c>
      <c r="H43" s="4" t="s">
        <v>29</v>
      </c>
      <c r="I43" s="4" t="n">
        <v>9</v>
      </c>
    </row>
    <row r="44" customFormat="false" ht="15" hidden="false" customHeight="false" outlineLevel="0" collapsed="false">
      <c r="A44" s="4" t="s">
        <v>133</v>
      </c>
      <c r="B44" s="4" t="s">
        <v>127</v>
      </c>
      <c r="C44" s="4" t="s">
        <v>32</v>
      </c>
      <c r="D44" s="4" t="s">
        <v>134</v>
      </c>
      <c r="E44" s="4" t="s">
        <v>38</v>
      </c>
      <c r="F44" s="4" t="s">
        <v>27</v>
      </c>
      <c r="G44" s="4" t="s">
        <v>28</v>
      </c>
      <c r="H44" s="4" t="s">
        <v>29</v>
      </c>
      <c r="I44" s="4" t="n">
        <v>0</v>
      </c>
    </row>
    <row r="45" customFormat="false" ht="15" hidden="false" customHeight="false" outlineLevel="0" collapsed="false">
      <c r="A45" s="4" t="s">
        <v>135</v>
      </c>
      <c r="B45" s="4" t="s">
        <v>127</v>
      </c>
      <c r="C45" s="4" t="s">
        <v>24</v>
      </c>
      <c r="D45" s="4" t="s">
        <v>136</v>
      </c>
      <c r="E45" s="4" t="s">
        <v>54</v>
      </c>
      <c r="F45" s="4" t="s">
        <v>39</v>
      </c>
      <c r="G45" s="4" t="s">
        <v>28</v>
      </c>
      <c r="H45" s="4" t="s">
        <v>29</v>
      </c>
      <c r="I45" s="4" t="n">
        <v>0</v>
      </c>
    </row>
    <row r="46" customFormat="false" ht="15" hidden="false" customHeight="false" outlineLevel="0" collapsed="false">
      <c r="A46" s="4" t="s">
        <v>137</v>
      </c>
      <c r="B46" s="4" t="s">
        <v>127</v>
      </c>
      <c r="C46" s="4" t="s">
        <v>32</v>
      </c>
      <c r="D46" s="4" t="s">
        <v>138</v>
      </c>
      <c r="E46" s="4" t="s">
        <v>38</v>
      </c>
      <c r="F46" s="4" t="s">
        <v>34</v>
      </c>
      <c r="G46" s="4" t="s">
        <v>28</v>
      </c>
      <c r="H46" s="4" t="s">
        <v>29</v>
      </c>
      <c r="I46" s="4" t="n">
        <v>56</v>
      </c>
    </row>
    <row r="47" customFormat="false" ht="15" hidden="false" customHeight="false" outlineLevel="0" collapsed="false">
      <c r="A47" s="4" t="s">
        <v>139</v>
      </c>
      <c r="B47" s="4" t="s">
        <v>127</v>
      </c>
      <c r="C47" s="4" t="s">
        <v>44</v>
      </c>
      <c r="D47" s="4" t="s">
        <v>140</v>
      </c>
      <c r="E47" s="4" t="s">
        <v>26</v>
      </c>
      <c r="F47" s="4" t="s">
        <v>39</v>
      </c>
      <c r="G47" s="4" t="s">
        <v>28</v>
      </c>
      <c r="H47" s="4" t="s">
        <v>29</v>
      </c>
      <c r="I47" s="4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3" t="s">
        <v>141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customFormat="false" ht="15" hidden="false" customHeight="false" outlineLevel="0" collapsed="false">
      <c r="A2" s="4" t="s">
        <v>142</v>
      </c>
      <c r="B2" s="4" t="s">
        <v>23</v>
      </c>
      <c r="C2" s="4" t="s">
        <v>24</v>
      </c>
      <c r="D2" s="4" t="s">
        <v>143</v>
      </c>
      <c r="E2" s="4" t="s">
        <v>46</v>
      </c>
      <c r="F2" s="4" t="s">
        <v>34</v>
      </c>
      <c r="G2" s="4" t="s">
        <v>28</v>
      </c>
      <c r="H2" s="4" t="s">
        <v>29</v>
      </c>
      <c r="I2" s="4" t="n">
        <v>0</v>
      </c>
    </row>
    <row r="3" customFormat="false" ht="15" hidden="false" customHeight="false" outlineLevel="0" collapsed="false">
      <c r="A3" s="4" t="s">
        <v>144</v>
      </c>
      <c r="B3" s="4" t="s">
        <v>23</v>
      </c>
      <c r="C3" s="4" t="s">
        <v>36</v>
      </c>
      <c r="D3" s="4" t="s">
        <v>145</v>
      </c>
      <c r="E3" s="4" t="s">
        <v>38</v>
      </c>
      <c r="F3" s="4" t="s">
        <v>64</v>
      </c>
      <c r="G3" s="4" t="s">
        <v>28</v>
      </c>
      <c r="H3" s="4" t="s">
        <v>29</v>
      </c>
      <c r="I3" s="4" t="n">
        <v>0</v>
      </c>
    </row>
    <row r="4" customFormat="false" ht="15" hidden="false" customHeight="false" outlineLevel="0" collapsed="false">
      <c r="A4" s="4" t="s">
        <v>146</v>
      </c>
      <c r="B4" s="4" t="s">
        <v>23</v>
      </c>
      <c r="C4" s="4" t="s">
        <v>32</v>
      </c>
      <c r="D4" s="4" t="s">
        <v>147</v>
      </c>
      <c r="E4" s="4" t="s">
        <v>148</v>
      </c>
      <c r="F4" s="4" t="s">
        <v>27</v>
      </c>
      <c r="G4" s="4" t="s">
        <v>28</v>
      </c>
      <c r="H4" s="4" t="s">
        <v>29</v>
      </c>
      <c r="I4" s="4" t="n">
        <v>0</v>
      </c>
    </row>
    <row r="5" customFormat="false" ht="15" hidden="false" customHeight="false" outlineLevel="0" collapsed="false">
      <c r="A5" s="4" t="s">
        <v>149</v>
      </c>
      <c r="B5" s="4" t="s">
        <v>23</v>
      </c>
      <c r="C5" s="4" t="s">
        <v>56</v>
      </c>
      <c r="D5" s="4" t="s">
        <v>150</v>
      </c>
      <c r="E5" s="4" t="s">
        <v>54</v>
      </c>
      <c r="F5" s="4" t="s">
        <v>27</v>
      </c>
      <c r="G5" s="4" t="s">
        <v>28</v>
      </c>
      <c r="H5" s="4" t="s">
        <v>29</v>
      </c>
      <c r="I5" s="4" t="n">
        <v>0</v>
      </c>
    </row>
    <row r="6" customFormat="false" ht="15" hidden="false" customHeight="false" outlineLevel="0" collapsed="false">
      <c r="A6" s="4" t="s">
        <v>151</v>
      </c>
      <c r="B6" s="4" t="s">
        <v>23</v>
      </c>
      <c r="C6" s="4" t="s">
        <v>48</v>
      </c>
      <c r="D6" s="4" t="s">
        <v>152</v>
      </c>
      <c r="E6" s="4" t="s">
        <v>54</v>
      </c>
      <c r="F6" s="4" t="s">
        <v>27</v>
      </c>
      <c r="G6" s="4" t="s">
        <v>28</v>
      </c>
      <c r="H6" s="4" t="s">
        <v>29</v>
      </c>
      <c r="I6" s="4" t="n">
        <v>0</v>
      </c>
    </row>
    <row r="7" customFormat="false" ht="15" hidden="false" customHeight="false" outlineLevel="0" collapsed="false">
      <c r="A7" s="4" t="s">
        <v>153</v>
      </c>
      <c r="B7" s="4" t="s">
        <v>23</v>
      </c>
      <c r="C7" s="4" t="s">
        <v>56</v>
      </c>
      <c r="D7" s="4" t="s">
        <v>154</v>
      </c>
      <c r="E7" s="4" t="s">
        <v>54</v>
      </c>
      <c r="F7" s="4" t="s">
        <v>27</v>
      </c>
      <c r="G7" s="4" t="s">
        <v>28</v>
      </c>
      <c r="H7" s="4" t="s">
        <v>29</v>
      </c>
      <c r="I7" s="4" t="n">
        <v>0</v>
      </c>
    </row>
    <row r="8" customFormat="false" ht="15" hidden="false" customHeight="false" outlineLevel="0" collapsed="false">
      <c r="A8" s="4" t="s">
        <v>155</v>
      </c>
      <c r="B8" s="4" t="s">
        <v>23</v>
      </c>
      <c r="C8" s="4" t="s">
        <v>36</v>
      </c>
      <c r="D8" s="4" t="s">
        <v>156</v>
      </c>
      <c r="E8" s="4" t="s">
        <v>46</v>
      </c>
      <c r="F8" s="4" t="s">
        <v>64</v>
      </c>
      <c r="G8" s="4" t="s">
        <v>28</v>
      </c>
      <c r="H8" s="4" t="s">
        <v>29</v>
      </c>
      <c r="I8" s="4" t="n">
        <v>0</v>
      </c>
    </row>
    <row r="9" customFormat="false" ht="15" hidden="false" customHeight="false" outlineLevel="0" collapsed="false">
      <c r="A9" s="4" t="s">
        <v>157</v>
      </c>
      <c r="B9" s="4" t="s">
        <v>23</v>
      </c>
      <c r="C9" s="4" t="s">
        <v>36</v>
      </c>
      <c r="D9" s="4" t="s">
        <v>158</v>
      </c>
      <c r="E9" s="4" t="s">
        <v>54</v>
      </c>
      <c r="F9" s="4" t="s">
        <v>64</v>
      </c>
      <c r="G9" s="4" t="s">
        <v>28</v>
      </c>
      <c r="H9" s="4" t="s">
        <v>29</v>
      </c>
      <c r="I9" s="4" t="n">
        <v>0</v>
      </c>
    </row>
    <row r="10" customFormat="false" ht="15" hidden="false" customHeight="false" outlineLevel="0" collapsed="false">
      <c r="A10" s="4" t="s">
        <v>159</v>
      </c>
      <c r="B10" s="4" t="s">
        <v>31</v>
      </c>
      <c r="C10" s="4" t="s">
        <v>48</v>
      </c>
      <c r="D10" s="4" t="s">
        <v>160</v>
      </c>
      <c r="E10" s="4" t="s">
        <v>38</v>
      </c>
      <c r="F10" s="4" t="s">
        <v>64</v>
      </c>
      <c r="G10" s="4" t="s">
        <v>28</v>
      </c>
      <c r="H10" s="4" t="s">
        <v>29</v>
      </c>
      <c r="I10" s="4" t="n">
        <v>0</v>
      </c>
    </row>
    <row r="11" customFormat="false" ht="15" hidden="false" customHeight="false" outlineLevel="0" collapsed="false">
      <c r="A11" s="4" t="s">
        <v>161</v>
      </c>
      <c r="B11" s="4" t="s">
        <v>31</v>
      </c>
      <c r="C11" s="4" t="s">
        <v>32</v>
      </c>
      <c r="D11" s="4" t="s">
        <v>162</v>
      </c>
      <c r="E11" s="4" t="s">
        <v>54</v>
      </c>
      <c r="F11" s="4" t="s">
        <v>39</v>
      </c>
      <c r="G11" s="4" t="s">
        <v>28</v>
      </c>
      <c r="H11" s="4" t="s">
        <v>29</v>
      </c>
      <c r="I11" s="4" t="n">
        <v>0</v>
      </c>
    </row>
    <row r="12" customFormat="false" ht="15" hidden="false" customHeight="false" outlineLevel="0" collapsed="false">
      <c r="A12" s="4" t="s">
        <v>163</v>
      </c>
      <c r="B12" s="4" t="s">
        <v>31</v>
      </c>
      <c r="C12" s="4" t="s">
        <v>32</v>
      </c>
      <c r="D12" s="4" t="s">
        <v>164</v>
      </c>
      <c r="E12" s="4" t="s">
        <v>54</v>
      </c>
      <c r="F12" s="4" t="s">
        <v>34</v>
      </c>
      <c r="G12" s="4" t="s">
        <v>28</v>
      </c>
      <c r="H12" s="4" t="s">
        <v>29</v>
      </c>
      <c r="I12" s="4" t="n">
        <v>0</v>
      </c>
    </row>
    <row r="13" customFormat="false" ht="15" hidden="false" customHeight="false" outlineLevel="0" collapsed="false">
      <c r="A13" s="4" t="s">
        <v>165</v>
      </c>
      <c r="B13" s="4" t="s">
        <v>59</v>
      </c>
      <c r="C13" s="4" t="s">
        <v>24</v>
      </c>
      <c r="D13" s="4" t="s">
        <v>166</v>
      </c>
      <c r="E13" s="4" t="s">
        <v>26</v>
      </c>
      <c r="F13" s="4" t="s">
        <v>64</v>
      </c>
      <c r="G13" s="4" t="s">
        <v>28</v>
      </c>
      <c r="H13" s="4" t="s">
        <v>29</v>
      </c>
      <c r="I13" s="4" t="n">
        <v>0</v>
      </c>
    </row>
    <row r="14" customFormat="false" ht="15" hidden="false" customHeight="false" outlineLevel="0" collapsed="false">
      <c r="A14" s="4" t="s">
        <v>167</v>
      </c>
      <c r="B14" s="4" t="s">
        <v>59</v>
      </c>
      <c r="C14" s="4" t="s">
        <v>56</v>
      </c>
      <c r="D14" s="4" t="s">
        <v>168</v>
      </c>
      <c r="E14" s="4" t="s">
        <v>26</v>
      </c>
      <c r="F14" s="4" t="s">
        <v>27</v>
      </c>
      <c r="G14" s="4" t="s">
        <v>28</v>
      </c>
      <c r="H14" s="4" t="s">
        <v>29</v>
      </c>
      <c r="I14" s="4" t="n">
        <v>0</v>
      </c>
    </row>
    <row r="15" customFormat="false" ht="15" hidden="false" customHeight="false" outlineLevel="0" collapsed="false">
      <c r="A15" s="4" t="s">
        <v>169</v>
      </c>
      <c r="B15" s="4" t="s">
        <v>59</v>
      </c>
      <c r="C15" s="4" t="s">
        <v>36</v>
      </c>
      <c r="D15" s="4" t="s">
        <v>170</v>
      </c>
      <c r="E15" s="4" t="s">
        <v>46</v>
      </c>
      <c r="F15" s="4" t="s">
        <v>27</v>
      </c>
      <c r="G15" s="4" t="s">
        <v>28</v>
      </c>
      <c r="H15" s="4" t="s">
        <v>29</v>
      </c>
      <c r="I15" s="4" t="n">
        <v>0</v>
      </c>
    </row>
    <row r="16" customFormat="false" ht="15" hidden="false" customHeight="false" outlineLevel="0" collapsed="false">
      <c r="A16" s="4" t="s">
        <v>171</v>
      </c>
      <c r="B16" s="4" t="s">
        <v>59</v>
      </c>
      <c r="C16" s="4" t="s">
        <v>44</v>
      </c>
      <c r="D16" s="4" t="s">
        <v>172</v>
      </c>
      <c r="E16" s="4" t="s">
        <v>54</v>
      </c>
      <c r="F16" s="4" t="s">
        <v>27</v>
      </c>
      <c r="G16" s="4" t="s">
        <v>28</v>
      </c>
      <c r="H16" s="4" t="s">
        <v>29</v>
      </c>
      <c r="I16" s="4" t="n">
        <v>0</v>
      </c>
    </row>
    <row r="17" customFormat="false" ht="15" hidden="false" customHeight="false" outlineLevel="0" collapsed="false">
      <c r="A17" s="4" t="s">
        <v>173</v>
      </c>
      <c r="B17" s="4" t="s">
        <v>59</v>
      </c>
      <c r="C17" s="4" t="s">
        <v>44</v>
      </c>
      <c r="D17" s="4" t="s">
        <v>174</v>
      </c>
      <c r="E17" s="4" t="s">
        <v>54</v>
      </c>
      <c r="F17" s="4" t="s">
        <v>64</v>
      </c>
      <c r="G17" s="4" t="s">
        <v>28</v>
      </c>
      <c r="H17" s="4" t="s">
        <v>29</v>
      </c>
      <c r="I17" s="4" t="n">
        <v>0</v>
      </c>
    </row>
    <row r="18" customFormat="false" ht="15" hidden="false" customHeight="false" outlineLevel="0" collapsed="false">
      <c r="A18" s="4" t="s">
        <v>175</v>
      </c>
      <c r="B18" s="4" t="s">
        <v>59</v>
      </c>
      <c r="C18" s="4" t="s">
        <v>24</v>
      </c>
      <c r="D18" s="4" t="s">
        <v>176</v>
      </c>
      <c r="E18" s="4" t="s">
        <v>46</v>
      </c>
      <c r="F18" s="4" t="s">
        <v>64</v>
      </c>
      <c r="G18" s="4" t="s">
        <v>28</v>
      </c>
      <c r="H18" s="4" t="s">
        <v>29</v>
      </c>
      <c r="I18" s="4" t="n">
        <v>0</v>
      </c>
    </row>
    <row r="19" customFormat="false" ht="15" hidden="false" customHeight="false" outlineLevel="0" collapsed="false">
      <c r="A19" s="4" t="s">
        <v>177</v>
      </c>
      <c r="B19" s="4" t="s">
        <v>59</v>
      </c>
      <c r="C19" s="4" t="s">
        <v>32</v>
      </c>
      <c r="D19" s="4" t="s">
        <v>178</v>
      </c>
      <c r="E19" s="4" t="s">
        <v>26</v>
      </c>
      <c r="F19" s="4" t="s">
        <v>39</v>
      </c>
      <c r="G19" s="4" t="s">
        <v>28</v>
      </c>
      <c r="H19" s="4" t="s">
        <v>29</v>
      </c>
      <c r="I19" s="4" t="n">
        <v>0</v>
      </c>
    </row>
    <row r="20" customFormat="false" ht="15" hidden="false" customHeight="false" outlineLevel="0" collapsed="false">
      <c r="A20" s="4" t="s">
        <v>179</v>
      </c>
      <c r="B20" s="4" t="s">
        <v>59</v>
      </c>
      <c r="C20" s="4" t="s">
        <v>32</v>
      </c>
      <c r="D20" s="4" t="s">
        <v>180</v>
      </c>
      <c r="E20" s="4" t="s">
        <v>54</v>
      </c>
      <c r="F20" s="4" t="s">
        <v>64</v>
      </c>
      <c r="G20" s="4" t="s">
        <v>28</v>
      </c>
      <c r="H20" s="4" t="s">
        <v>29</v>
      </c>
      <c r="I20" s="4" t="n">
        <v>0</v>
      </c>
    </row>
    <row r="21" customFormat="false" ht="15" hidden="false" customHeight="false" outlineLevel="0" collapsed="false">
      <c r="A21" s="4" t="s">
        <v>181</v>
      </c>
      <c r="B21" s="4" t="s">
        <v>62</v>
      </c>
      <c r="C21" s="4" t="s">
        <v>24</v>
      </c>
      <c r="D21" s="4" t="s">
        <v>182</v>
      </c>
      <c r="E21" s="4" t="s">
        <v>46</v>
      </c>
      <c r="F21" s="4" t="s">
        <v>39</v>
      </c>
      <c r="G21" s="4" t="s">
        <v>28</v>
      </c>
      <c r="H21" s="4" t="s">
        <v>29</v>
      </c>
      <c r="I21" s="4" t="n">
        <v>0</v>
      </c>
    </row>
    <row r="22" customFormat="false" ht="15" hidden="false" customHeight="false" outlineLevel="0" collapsed="false">
      <c r="A22" s="4" t="s">
        <v>183</v>
      </c>
      <c r="B22" s="4" t="s">
        <v>62</v>
      </c>
      <c r="C22" s="4" t="s">
        <v>56</v>
      </c>
      <c r="D22" s="4" t="s">
        <v>184</v>
      </c>
      <c r="E22" s="4" t="s">
        <v>46</v>
      </c>
      <c r="F22" s="4" t="s">
        <v>27</v>
      </c>
      <c r="G22" s="4" t="s">
        <v>28</v>
      </c>
      <c r="H22" s="4" t="s">
        <v>29</v>
      </c>
      <c r="I22" s="4" t="n">
        <v>0</v>
      </c>
    </row>
    <row r="23" customFormat="false" ht="15" hidden="false" customHeight="false" outlineLevel="0" collapsed="false">
      <c r="A23" s="4" t="s">
        <v>185</v>
      </c>
      <c r="B23" s="4" t="s">
        <v>66</v>
      </c>
      <c r="C23" s="4" t="s">
        <v>56</v>
      </c>
      <c r="D23" s="4" t="s">
        <v>186</v>
      </c>
      <c r="E23" s="4" t="s">
        <v>148</v>
      </c>
      <c r="F23" s="4" t="s">
        <v>27</v>
      </c>
      <c r="G23" s="4" t="s">
        <v>28</v>
      </c>
      <c r="H23" s="4" t="s">
        <v>29</v>
      </c>
      <c r="I23" s="4" t="n">
        <v>0</v>
      </c>
    </row>
    <row r="24" customFormat="false" ht="15" hidden="false" customHeight="false" outlineLevel="0" collapsed="false">
      <c r="A24" s="4" t="s">
        <v>187</v>
      </c>
      <c r="B24" s="4" t="s">
        <v>77</v>
      </c>
      <c r="C24" s="4" t="s">
        <v>48</v>
      </c>
      <c r="D24" s="4" t="s">
        <v>188</v>
      </c>
      <c r="E24" s="4" t="s">
        <v>54</v>
      </c>
      <c r="F24" s="4" t="s">
        <v>34</v>
      </c>
      <c r="G24" s="4" t="s">
        <v>28</v>
      </c>
      <c r="H24" s="4" t="s">
        <v>29</v>
      </c>
      <c r="I24" s="4" t="n">
        <v>0</v>
      </c>
    </row>
    <row r="25" customFormat="false" ht="15" hidden="false" customHeight="false" outlineLevel="0" collapsed="false">
      <c r="A25" s="4" t="s">
        <v>189</v>
      </c>
      <c r="B25" s="4" t="s">
        <v>77</v>
      </c>
      <c r="C25" s="4" t="s">
        <v>44</v>
      </c>
      <c r="D25" s="4" t="s">
        <v>190</v>
      </c>
      <c r="E25" s="4" t="s">
        <v>26</v>
      </c>
      <c r="F25" s="4" t="s">
        <v>34</v>
      </c>
      <c r="G25" s="4" t="s">
        <v>28</v>
      </c>
      <c r="H25" s="4" t="s">
        <v>29</v>
      </c>
      <c r="I25" s="4" t="n">
        <v>0</v>
      </c>
    </row>
    <row r="26" customFormat="false" ht="15" hidden="false" customHeight="false" outlineLevel="0" collapsed="false">
      <c r="A26" s="4" t="s">
        <v>191</v>
      </c>
      <c r="B26" s="4" t="s">
        <v>77</v>
      </c>
      <c r="C26" s="4" t="s">
        <v>44</v>
      </c>
      <c r="D26" s="4" t="s">
        <v>192</v>
      </c>
      <c r="E26" s="4" t="s">
        <v>54</v>
      </c>
      <c r="F26" s="4" t="s">
        <v>39</v>
      </c>
      <c r="G26" s="4" t="s">
        <v>28</v>
      </c>
      <c r="H26" s="4" t="s">
        <v>29</v>
      </c>
      <c r="I26" s="4" t="n">
        <v>0</v>
      </c>
    </row>
    <row r="27" customFormat="false" ht="15" hidden="false" customHeight="false" outlineLevel="0" collapsed="false">
      <c r="A27" s="4" t="s">
        <v>193</v>
      </c>
      <c r="B27" s="4" t="s">
        <v>77</v>
      </c>
      <c r="C27" s="4" t="s">
        <v>24</v>
      </c>
      <c r="D27" s="4" t="s">
        <v>194</v>
      </c>
      <c r="E27" s="4" t="s">
        <v>54</v>
      </c>
      <c r="F27" s="4" t="s">
        <v>34</v>
      </c>
      <c r="G27" s="4" t="s">
        <v>28</v>
      </c>
      <c r="H27" s="4" t="s">
        <v>29</v>
      </c>
      <c r="I27" s="4" t="n">
        <v>0</v>
      </c>
    </row>
    <row r="28" customFormat="false" ht="15" hidden="false" customHeight="false" outlineLevel="0" collapsed="false">
      <c r="A28" s="4" t="s">
        <v>195</v>
      </c>
      <c r="B28" s="4" t="s">
        <v>77</v>
      </c>
      <c r="C28" s="4" t="s">
        <v>48</v>
      </c>
      <c r="D28" s="4" t="s">
        <v>196</v>
      </c>
      <c r="E28" s="4" t="s">
        <v>54</v>
      </c>
      <c r="F28" s="4" t="s">
        <v>27</v>
      </c>
      <c r="G28" s="4" t="s">
        <v>28</v>
      </c>
      <c r="H28" s="4" t="s">
        <v>29</v>
      </c>
      <c r="I28" s="4" t="n">
        <v>0</v>
      </c>
    </row>
    <row r="29" customFormat="false" ht="15" hidden="false" customHeight="false" outlineLevel="0" collapsed="false">
      <c r="A29" s="4" t="s">
        <v>197</v>
      </c>
      <c r="B29" s="4" t="s">
        <v>84</v>
      </c>
      <c r="C29" s="4" t="s">
        <v>41</v>
      </c>
      <c r="D29" s="4" t="s">
        <v>198</v>
      </c>
      <c r="E29" s="4" t="s">
        <v>46</v>
      </c>
      <c r="F29" s="4" t="s">
        <v>39</v>
      </c>
      <c r="G29" s="4" t="s">
        <v>28</v>
      </c>
      <c r="H29" s="4" t="s">
        <v>29</v>
      </c>
      <c r="I29" s="4" t="n">
        <v>0</v>
      </c>
    </row>
    <row r="30" customFormat="false" ht="15" hidden="false" customHeight="false" outlineLevel="0" collapsed="false">
      <c r="A30" s="4" t="s">
        <v>199</v>
      </c>
      <c r="B30" s="4" t="s">
        <v>84</v>
      </c>
      <c r="C30" s="4" t="s">
        <v>44</v>
      </c>
      <c r="D30" s="4" t="s">
        <v>200</v>
      </c>
      <c r="E30" s="4" t="s">
        <v>54</v>
      </c>
      <c r="F30" s="4" t="s">
        <v>34</v>
      </c>
      <c r="G30" s="4" t="s">
        <v>28</v>
      </c>
      <c r="H30" s="4" t="s">
        <v>29</v>
      </c>
      <c r="I30" s="4" t="n">
        <v>0</v>
      </c>
    </row>
    <row r="31" customFormat="false" ht="15" hidden="false" customHeight="false" outlineLevel="0" collapsed="false">
      <c r="A31" s="4" t="s">
        <v>201</v>
      </c>
      <c r="B31" s="4" t="s">
        <v>97</v>
      </c>
      <c r="C31" s="4" t="s">
        <v>24</v>
      </c>
      <c r="D31" s="4" t="s">
        <v>202</v>
      </c>
      <c r="E31" s="4" t="s">
        <v>38</v>
      </c>
      <c r="F31" s="4" t="s">
        <v>34</v>
      </c>
      <c r="G31" s="4" t="s">
        <v>28</v>
      </c>
      <c r="H31" s="4" t="s">
        <v>29</v>
      </c>
      <c r="I31" s="4" t="n">
        <v>55</v>
      </c>
    </row>
    <row r="32" customFormat="false" ht="15" hidden="false" customHeight="false" outlineLevel="0" collapsed="false">
      <c r="A32" s="4" t="s">
        <v>203</v>
      </c>
      <c r="B32" s="4" t="s">
        <v>110</v>
      </c>
      <c r="C32" s="4" t="s">
        <v>36</v>
      </c>
      <c r="D32" s="4" t="s">
        <v>204</v>
      </c>
      <c r="E32" s="4" t="s">
        <v>38</v>
      </c>
      <c r="F32" s="4" t="s">
        <v>34</v>
      </c>
      <c r="G32" s="4" t="s">
        <v>28</v>
      </c>
      <c r="H32" s="4" t="s">
        <v>29</v>
      </c>
      <c r="I32" s="4" t="n">
        <v>0</v>
      </c>
    </row>
    <row r="33" customFormat="false" ht="15" hidden="false" customHeight="false" outlineLevel="0" collapsed="false">
      <c r="A33" s="4" t="s">
        <v>205</v>
      </c>
      <c r="B33" s="4" t="s">
        <v>110</v>
      </c>
      <c r="C33" s="4" t="s">
        <v>41</v>
      </c>
      <c r="D33" s="4" t="s">
        <v>206</v>
      </c>
      <c r="E33" s="4" t="s">
        <v>26</v>
      </c>
      <c r="F33" s="4" t="s">
        <v>64</v>
      </c>
      <c r="G33" s="4" t="s">
        <v>28</v>
      </c>
      <c r="H33" s="4" t="s">
        <v>29</v>
      </c>
      <c r="I33" s="4" t="n">
        <v>0</v>
      </c>
    </row>
    <row r="34" customFormat="false" ht="15" hidden="false" customHeight="false" outlineLevel="0" collapsed="false">
      <c r="A34" s="4" t="s">
        <v>207</v>
      </c>
      <c r="B34" s="4" t="s">
        <v>110</v>
      </c>
      <c r="C34" s="4" t="s">
        <v>32</v>
      </c>
      <c r="D34" s="4" t="s">
        <v>208</v>
      </c>
      <c r="E34" s="4" t="s">
        <v>148</v>
      </c>
      <c r="F34" s="4" t="s">
        <v>27</v>
      </c>
      <c r="G34" s="4" t="s">
        <v>28</v>
      </c>
      <c r="H34" s="4" t="s">
        <v>29</v>
      </c>
      <c r="I34" s="4" t="n">
        <v>0</v>
      </c>
    </row>
    <row r="35" customFormat="false" ht="15" hidden="false" customHeight="false" outlineLevel="0" collapsed="false">
      <c r="A35" s="4" t="s">
        <v>209</v>
      </c>
      <c r="B35" s="4" t="s">
        <v>110</v>
      </c>
      <c r="C35" s="4" t="s">
        <v>24</v>
      </c>
      <c r="D35" s="4" t="s">
        <v>210</v>
      </c>
      <c r="E35" s="4" t="s">
        <v>46</v>
      </c>
      <c r="F35" s="4" t="s">
        <v>64</v>
      </c>
      <c r="G35" s="4" t="s">
        <v>28</v>
      </c>
      <c r="H35" s="4" t="s">
        <v>29</v>
      </c>
      <c r="I35" s="4" t="n">
        <v>0</v>
      </c>
    </row>
    <row r="36" customFormat="false" ht="15" hidden="false" customHeight="false" outlineLevel="0" collapsed="false">
      <c r="A36" s="4" t="s">
        <v>211</v>
      </c>
      <c r="B36" s="4" t="s">
        <v>110</v>
      </c>
      <c r="C36" s="4" t="s">
        <v>36</v>
      </c>
      <c r="D36" s="4" t="s">
        <v>212</v>
      </c>
      <c r="E36" s="4" t="s">
        <v>148</v>
      </c>
      <c r="F36" s="4" t="s">
        <v>64</v>
      </c>
      <c r="G36" s="4" t="s">
        <v>28</v>
      </c>
      <c r="H36" s="4" t="s">
        <v>29</v>
      </c>
      <c r="I36" s="4" t="n">
        <v>0</v>
      </c>
    </row>
    <row r="37" customFormat="false" ht="15" hidden="false" customHeight="false" outlineLevel="0" collapsed="false">
      <c r="A37" s="4" t="s">
        <v>213</v>
      </c>
      <c r="B37" s="4" t="s">
        <v>110</v>
      </c>
      <c r="C37" s="4" t="s">
        <v>56</v>
      </c>
      <c r="D37" s="4" t="s">
        <v>214</v>
      </c>
      <c r="E37" s="4" t="s">
        <v>148</v>
      </c>
      <c r="F37" s="4" t="s">
        <v>34</v>
      </c>
      <c r="G37" s="4" t="s">
        <v>28</v>
      </c>
      <c r="H37" s="4" t="s">
        <v>29</v>
      </c>
      <c r="I37" s="4" t="n">
        <v>8</v>
      </c>
    </row>
    <row r="38" customFormat="false" ht="15" hidden="false" customHeight="false" outlineLevel="0" collapsed="false">
      <c r="A38" s="4" t="s">
        <v>215</v>
      </c>
      <c r="B38" s="4" t="s">
        <v>110</v>
      </c>
      <c r="C38" s="4" t="s">
        <v>56</v>
      </c>
      <c r="D38" s="4" t="s">
        <v>216</v>
      </c>
      <c r="E38" s="4" t="s">
        <v>148</v>
      </c>
      <c r="F38" s="4" t="s">
        <v>34</v>
      </c>
      <c r="G38" s="4" t="s">
        <v>28</v>
      </c>
      <c r="H38" s="4" t="s">
        <v>29</v>
      </c>
      <c r="I38" s="4" t="n">
        <v>0</v>
      </c>
    </row>
    <row r="39" customFormat="false" ht="15" hidden="false" customHeight="false" outlineLevel="0" collapsed="false">
      <c r="A39" s="4" t="s">
        <v>217</v>
      </c>
      <c r="B39" s="4" t="s">
        <v>127</v>
      </c>
      <c r="C39" s="4" t="s">
        <v>56</v>
      </c>
      <c r="D39" s="4" t="s">
        <v>218</v>
      </c>
      <c r="E39" s="4" t="s">
        <v>148</v>
      </c>
      <c r="F39" s="4" t="s">
        <v>64</v>
      </c>
      <c r="G39" s="4" t="s">
        <v>28</v>
      </c>
      <c r="H39" s="4" t="s">
        <v>29</v>
      </c>
      <c r="I39" s="4" t="n">
        <v>0</v>
      </c>
    </row>
    <row r="40" customFormat="false" ht="15" hidden="false" customHeight="false" outlineLevel="0" collapsed="false">
      <c r="A40" s="4" t="s">
        <v>219</v>
      </c>
      <c r="B40" s="4" t="s">
        <v>127</v>
      </c>
      <c r="C40" s="4" t="s">
        <v>36</v>
      </c>
      <c r="D40" s="4" t="s">
        <v>220</v>
      </c>
      <c r="E40" s="4" t="s">
        <v>54</v>
      </c>
      <c r="F40" s="4" t="s">
        <v>64</v>
      </c>
      <c r="G40" s="4" t="s">
        <v>28</v>
      </c>
      <c r="H40" s="4" t="s">
        <v>29</v>
      </c>
      <c r="I40" s="4" t="n">
        <v>0</v>
      </c>
    </row>
    <row r="41" customFormat="false" ht="15" hidden="false" customHeight="false" outlineLevel="0" collapsed="false">
      <c r="A41" s="4" t="s">
        <v>221</v>
      </c>
      <c r="B41" s="4" t="s">
        <v>127</v>
      </c>
      <c r="C41" s="4" t="s">
        <v>48</v>
      </c>
      <c r="D41" s="4" t="s">
        <v>222</v>
      </c>
      <c r="E41" s="4" t="s">
        <v>148</v>
      </c>
      <c r="F41" s="4" t="s">
        <v>64</v>
      </c>
      <c r="G41" s="4" t="s">
        <v>28</v>
      </c>
      <c r="H41" s="4" t="s">
        <v>29</v>
      </c>
      <c r="I41" s="4" t="n">
        <v>0</v>
      </c>
    </row>
    <row r="42" customFormat="false" ht="15" hidden="false" customHeight="false" outlineLevel="0" collapsed="false">
      <c r="A42" s="4" t="s">
        <v>223</v>
      </c>
      <c r="B42" s="4" t="s">
        <v>127</v>
      </c>
      <c r="C42" s="4" t="s">
        <v>48</v>
      </c>
      <c r="D42" s="4" t="s">
        <v>224</v>
      </c>
      <c r="E42" s="4" t="s">
        <v>54</v>
      </c>
      <c r="F42" s="4" t="s">
        <v>39</v>
      </c>
      <c r="G42" s="4" t="s">
        <v>28</v>
      </c>
      <c r="H42" s="4" t="s">
        <v>29</v>
      </c>
      <c r="I42" s="4" t="n">
        <v>0</v>
      </c>
    </row>
    <row r="43" customFormat="false" ht="15" hidden="false" customHeight="false" outlineLevel="0" collapsed="false">
      <c r="A43" s="4" t="s">
        <v>225</v>
      </c>
      <c r="B43" s="4" t="s">
        <v>127</v>
      </c>
      <c r="C43" s="4" t="s">
        <v>56</v>
      </c>
      <c r="D43" s="4" t="s">
        <v>226</v>
      </c>
      <c r="E43" s="4" t="s">
        <v>54</v>
      </c>
      <c r="F43" s="4" t="s">
        <v>64</v>
      </c>
      <c r="G43" s="4" t="s">
        <v>28</v>
      </c>
      <c r="H43" s="4" t="s">
        <v>29</v>
      </c>
      <c r="I43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3" t="s">
        <v>227</v>
      </c>
      <c r="B1" s="3" t="s">
        <v>14</v>
      </c>
      <c r="C1" s="3" t="s">
        <v>228</v>
      </c>
      <c r="D1" s="3" t="s">
        <v>229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customFormat="false" ht="15" hidden="false" customHeight="false" outlineLevel="0" collapsed="false">
      <c r="A2" s="4" t="s">
        <v>230</v>
      </c>
      <c r="B2" s="4" t="s">
        <v>23</v>
      </c>
      <c r="C2" s="4" t="s">
        <v>231</v>
      </c>
      <c r="D2" s="4" t="s">
        <v>232</v>
      </c>
      <c r="E2" s="4" t="s">
        <v>38</v>
      </c>
      <c r="F2" s="4" t="s">
        <v>39</v>
      </c>
      <c r="G2" s="4" t="s">
        <v>28</v>
      </c>
      <c r="H2" s="4" t="s">
        <v>29</v>
      </c>
      <c r="I2" s="4" t="n">
        <v>0</v>
      </c>
    </row>
    <row r="3" customFormat="false" ht="15" hidden="false" customHeight="false" outlineLevel="0" collapsed="false">
      <c r="A3" s="4" t="s">
        <v>233</v>
      </c>
      <c r="B3" s="4" t="s">
        <v>23</v>
      </c>
      <c r="C3" s="4" t="s">
        <v>234</v>
      </c>
      <c r="D3" s="4" t="s">
        <v>235</v>
      </c>
      <c r="E3" s="4" t="s">
        <v>236</v>
      </c>
      <c r="F3" s="4" t="s">
        <v>39</v>
      </c>
      <c r="G3" s="4" t="s">
        <v>28</v>
      </c>
      <c r="H3" s="4" t="s">
        <v>29</v>
      </c>
      <c r="I3" s="4" t="n">
        <v>0</v>
      </c>
    </row>
    <row r="4" customFormat="false" ht="15" hidden="false" customHeight="false" outlineLevel="0" collapsed="false">
      <c r="A4" s="4" t="s">
        <v>237</v>
      </c>
      <c r="B4" s="4" t="s">
        <v>23</v>
      </c>
      <c r="C4" s="4" t="s">
        <v>238</v>
      </c>
      <c r="D4" s="4" t="s">
        <v>239</v>
      </c>
      <c r="E4" s="4" t="s">
        <v>38</v>
      </c>
      <c r="F4" s="4" t="s">
        <v>34</v>
      </c>
      <c r="G4" s="4" t="s">
        <v>28</v>
      </c>
      <c r="H4" s="4" t="s">
        <v>29</v>
      </c>
      <c r="I4" s="4" t="n">
        <v>33</v>
      </c>
    </row>
    <row r="5" customFormat="false" ht="15" hidden="false" customHeight="false" outlineLevel="0" collapsed="false">
      <c r="A5" s="4" t="s">
        <v>240</v>
      </c>
      <c r="B5" s="4" t="s">
        <v>23</v>
      </c>
      <c r="C5" s="4" t="s">
        <v>238</v>
      </c>
      <c r="D5" s="4" t="s">
        <v>241</v>
      </c>
      <c r="E5" s="4" t="s">
        <v>236</v>
      </c>
      <c r="F5" s="4" t="s">
        <v>64</v>
      </c>
      <c r="G5" s="4" t="s">
        <v>28</v>
      </c>
      <c r="H5" s="4" t="s">
        <v>29</v>
      </c>
      <c r="I5" s="4" t="n">
        <v>0</v>
      </c>
    </row>
    <row r="6" customFormat="false" ht="15" hidden="false" customHeight="false" outlineLevel="0" collapsed="false">
      <c r="A6" s="4" t="s">
        <v>242</v>
      </c>
      <c r="B6" s="4" t="s">
        <v>23</v>
      </c>
      <c r="C6" s="4" t="s">
        <v>231</v>
      </c>
      <c r="D6" s="4" t="s">
        <v>243</v>
      </c>
      <c r="E6" s="4" t="s">
        <v>38</v>
      </c>
      <c r="F6" s="4" t="s">
        <v>34</v>
      </c>
      <c r="G6" s="4" t="s">
        <v>28</v>
      </c>
      <c r="H6" s="4" t="s">
        <v>29</v>
      </c>
      <c r="I6" s="4" t="n">
        <v>0</v>
      </c>
    </row>
    <row r="7" customFormat="false" ht="15" hidden="false" customHeight="false" outlineLevel="0" collapsed="false">
      <c r="A7" s="4" t="s">
        <v>244</v>
      </c>
      <c r="B7" s="4" t="s">
        <v>23</v>
      </c>
      <c r="C7" s="4" t="s">
        <v>238</v>
      </c>
      <c r="D7" s="4" t="s">
        <v>245</v>
      </c>
      <c r="E7" s="4" t="s">
        <v>38</v>
      </c>
      <c r="F7" s="4" t="s">
        <v>27</v>
      </c>
      <c r="G7" s="4" t="s">
        <v>28</v>
      </c>
      <c r="H7" s="4" t="s">
        <v>29</v>
      </c>
      <c r="I7" s="4" t="n">
        <v>16</v>
      </c>
    </row>
    <row r="8" customFormat="false" ht="15" hidden="false" customHeight="false" outlineLevel="0" collapsed="false">
      <c r="A8" s="4" t="s">
        <v>246</v>
      </c>
      <c r="B8" s="4" t="s">
        <v>31</v>
      </c>
      <c r="C8" s="4" t="s">
        <v>234</v>
      </c>
      <c r="D8" s="4" t="s">
        <v>247</v>
      </c>
      <c r="E8" s="4" t="s">
        <v>38</v>
      </c>
      <c r="F8" s="4" t="s">
        <v>39</v>
      </c>
      <c r="G8" s="4" t="s">
        <v>28</v>
      </c>
      <c r="H8" s="4" t="s">
        <v>29</v>
      </c>
      <c r="I8" s="4" t="n">
        <v>46</v>
      </c>
    </row>
    <row r="9" customFormat="false" ht="15" hidden="false" customHeight="false" outlineLevel="0" collapsed="false">
      <c r="A9" s="4" t="s">
        <v>248</v>
      </c>
      <c r="B9" s="4" t="s">
        <v>31</v>
      </c>
      <c r="C9" s="4" t="s">
        <v>234</v>
      </c>
      <c r="D9" s="4" t="s">
        <v>249</v>
      </c>
      <c r="E9" s="4" t="s">
        <v>38</v>
      </c>
      <c r="F9" s="4" t="s">
        <v>34</v>
      </c>
      <c r="G9" s="4" t="s">
        <v>28</v>
      </c>
      <c r="H9" s="4" t="s">
        <v>29</v>
      </c>
      <c r="I9" s="4" t="n">
        <v>0</v>
      </c>
    </row>
    <row r="10" customFormat="false" ht="15" hidden="false" customHeight="false" outlineLevel="0" collapsed="false">
      <c r="A10" s="4" t="s">
        <v>250</v>
      </c>
      <c r="B10" s="4" t="s">
        <v>31</v>
      </c>
      <c r="C10" s="4" t="s">
        <v>231</v>
      </c>
      <c r="D10" s="4" t="s">
        <v>251</v>
      </c>
      <c r="E10" s="4" t="s">
        <v>26</v>
      </c>
      <c r="F10" s="4" t="s">
        <v>39</v>
      </c>
      <c r="G10" s="4" t="s">
        <v>28</v>
      </c>
      <c r="H10" s="4" t="s">
        <v>29</v>
      </c>
      <c r="I10" s="4" t="n">
        <v>0</v>
      </c>
    </row>
    <row r="11" customFormat="false" ht="15" hidden="false" customHeight="false" outlineLevel="0" collapsed="false">
      <c r="A11" s="4" t="s">
        <v>252</v>
      </c>
      <c r="B11" s="4" t="s">
        <v>31</v>
      </c>
      <c r="C11" s="4" t="s">
        <v>234</v>
      </c>
      <c r="D11" s="4" t="s">
        <v>253</v>
      </c>
      <c r="E11" s="4" t="s">
        <v>26</v>
      </c>
      <c r="F11" s="4" t="s">
        <v>39</v>
      </c>
      <c r="G11" s="4" t="s">
        <v>28</v>
      </c>
      <c r="H11" s="4" t="s">
        <v>29</v>
      </c>
      <c r="I11" s="4" t="n">
        <v>0</v>
      </c>
    </row>
    <row r="12" customFormat="false" ht="15" hidden="false" customHeight="false" outlineLevel="0" collapsed="false">
      <c r="A12" s="4" t="s">
        <v>254</v>
      </c>
      <c r="B12" s="4" t="s">
        <v>31</v>
      </c>
      <c r="C12" s="4" t="s">
        <v>231</v>
      </c>
      <c r="D12" s="4" t="s">
        <v>255</v>
      </c>
      <c r="E12" s="4" t="s">
        <v>236</v>
      </c>
      <c r="F12" s="4" t="s">
        <v>39</v>
      </c>
      <c r="G12" s="4" t="s">
        <v>28</v>
      </c>
      <c r="H12" s="4" t="s">
        <v>29</v>
      </c>
      <c r="I12" s="4" t="n">
        <v>0</v>
      </c>
    </row>
    <row r="13" customFormat="false" ht="15" hidden="false" customHeight="false" outlineLevel="0" collapsed="false">
      <c r="A13" s="4" t="s">
        <v>256</v>
      </c>
      <c r="B13" s="4" t="s">
        <v>31</v>
      </c>
      <c r="C13" s="4" t="s">
        <v>238</v>
      </c>
      <c r="D13" s="4" t="s">
        <v>257</v>
      </c>
      <c r="E13" s="4" t="s">
        <v>38</v>
      </c>
      <c r="F13" s="4" t="s">
        <v>39</v>
      </c>
      <c r="G13" s="4" t="s">
        <v>28</v>
      </c>
      <c r="H13" s="4" t="s">
        <v>29</v>
      </c>
      <c r="I13" s="4" t="n">
        <v>0</v>
      </c>
    </row>
    <row r="14" customFormat="false" ht="15" hidden="false" customHeight="false" outlineLevel="0" collapsed="false">
      <c r="A14" s="4" t="s">
        <v>258</v>
      </c>
      <c r="B14" s="4" t="s">
        <v>31</v>
      </c>
      <c r="C14" s="4" t="s">
        <v>234</v>
      </c>
      <c r="D14" s="4" t="s">
        <v>259</v>
      </c>
      <c r="E14" s="4" t="s">
        <v>236</v>
      </c>
      <c r="F14" s="4" t="s">
        <v>27</v>
      </c>
      <c r="G14" s="4" t="s">
        <v>28</v>
      </c>
      <c r="H14" s="4" t="s">
        <v>29</v>
      </c>
      <c r="I14" s="4" t="n">
        <v>0</v>
      </c>
    </row>
    <row r="15" customFormat="false" ht="15" hidden="false" customHeight="false" outlineLevel="0" collapsed="false">
      <c r="A15" s="4" t="s">
        <v>260</v>
      </c>
      <c r="B15" s="4" t="s">
        <v>59</v>
      </c>
      <c r="C15" s="4" t="s">
        <v>231</v>
      </c>
      <c r="D15" s="4" t="s">
        <v>261</v>
      </c>
      <c r="E15" s="4" t="s">
        <v>26</v>
      </c>
      <c r="F15" s="4" t="s">
        <v>34</v>
      </c>
      <c r="G15" s="4" t="s">
        <v>28</v>
      </c>
      <c r="H15" s="4" t="s">
        <v>29</v>
      </c>
      <c r="I15" s="4" t="n">
        <v>0</v>
      </c>
    </row>
    <row r="16" customFormat="false" ht="15" hidden="false" customHeight="false" outlineLevel="0" collapsed="false">
      <c r="A16" s="4" t="s">
        <v>262</v>
      </c>
      <c r="B16" s="4" t="s">
        <v>59</v>
      </c>
      <c r="C16" s="4" t="s">
        <v>231</v>
      </c>
      <c r="D16" s="4" t="s">
        <v>263</v>
      </c>
      <c r="E16" s="4" t="s">
        <v>38</v>
      </c>
      <c r="F16" s="4" t="s">
        <v>39</v>
      </c>
      <c r="G16" s="4" t="s">
        <v>28</v>
      </c>
      <c r="H16" s="4" t="s">
        <v>29</v>
      </c>
      <c r="I16" s="4" t="n">
        <v>0</v>
      </c>
    </row>
    <row r="17" customFormat="false" ht="15" hidden="false" customHeight="false" outlineLevel="0" collapsed="false">
      <c r="A17" s="4" t="s">
        <v>264</v>
      </c>
      <c r="B17" s="4" t="s">
        <v>59</v>
      </c>
      <c r="C17" s="4" t="s">
        <v>231</v>
      </c>
      <c r="D17" s="4" t="s">
        <v>265</v>
      </c>
      <c r="E17" s="4" t="s">
        <v>26</v>
      </c>
      <c r="F17" s="4" t="s">
        <v>39</v>
      </c>
      <c r="G17" s="4" t="s">
        <v>28</v>
      </c>
      <c r="H17" s="4" t="s">
        <v>29</v>
      </c>
      <c r="I17" s="4" t="n">
        <v>0</v>
      </c>
    </row>
    <row r="18" customFormat="false" ht="15" hidden="false" customHeight="false" outlineLevel="0" collapsed="false">
      <c r="A18" s="4" t="s">
        <v>266</v>
      </c>
      <c r="B18" s="4" t="s">
        <v>59</v>
      </c>
      <c r="C18" s="4" t="s">
        <v>234</v>
      </c>
      <c r="D18" s="4" t="s">
        <v>267</v>
      </c>
      <c r="E18" s="4" t="s">
        <v>38</v>
      </c>
      <c r="F18" s="4" t="s">
        <v>27</v>
      </c>
      <c r="G18" s="4" t="s">
        <v>28</v>
      </c>
      <c r="H18" s="4" t="s">
        <v>29</v>
      </c>
      <c r="I18" s="4" t="n">
        <v>55</v>
      </c>
    </row>
    <row r="19" customFormat="false" ht="15" hidden="false" customHeight="false" outlineLevel="0" collapsed="false">
      <c r="A19" s="4" t="s">
        <v>268</v>
      </c>
      <c r="B19" s="4" t="s">
        <v>62</v>
      </c>
      <c r="C19" s="4" t="s">
        <v>238</v>
      </c>
      <c r="D19" s="4" t="s">
        <v>269</v>
      </c>
      <c r="E19" s="4" t="s">
        <v>26</v>
      </c>
      <c r="F19" s="4" t="s">
        <v>34</v>
      </c>
      <c r="G19" s="4" t="s">
        <v>28</v>
      </c>
      <c r="H19" s="4" t="s">
        <v>29</v>
      </c>
      <c r="I19" s="4" t="n">
        <v>55</v>
      </c>
    </row>
    <row r="20" customFormat="false" ht="15" hidden="false" customHeight="false" outlineLevel="0" collapsed="false">
      <c r="A20" s="4" t="s">
        <v>270</v>
      </c>
      <c r="B20" s="4" t="s">
        <v>62</v>
      </c>
      <c r="C20" s="4" t="s">
        <v>231</v>
      </c>
      <c r="D20" s="4" t="s">
        <v>271</v>
      </c>
      <c r="E20" s="4" t="s">
        <v>26</v>
      </c>
      <c r="F20" s="4" t="s">
        <v>39</v>
      </c>
      <c r="G20" s="4" t="s">
        <v>28</v>
      </c>
      <c r="H20" s="4" t="s">
        <v>29</v>
      </c>
      <c r="I20" s="4" t="n">
        <v>28</v>
      </c>
    </row>
    <row r="21" customFormat="false" ht="15" hidden="false" customHeight="false" outlineLevel="0" collapsed="false">
      <c r="A21" s="4" t="s">
        <v>272</v>
      </c>
      <c r="B21" s="4" t="s">
        <v>62</v>
      </c>
      <c r="C21" s="4" t="s">
        <v>234</v>
      </c>
      <c r="D21" s="4" t="s">
        <v>273</v>
      </c>
      <c r="E21" s="4" t="s">
        <v>26</v>
      </c>
      <c r="F21" s="4" t="s">
        <v>34</v>
      </c>
      <c r="G21" s="4" t="s">
        <v>28</v>
      </c>
      <c r="H21" s="4" t="s">
        <v>29</v>
      </c>
      <c r="I21" s="4" t="n">
        <v>0</v>
      </c>
    </row>
    <row r="22" customFormat="false" ht="15" hidden="false" customHeight="false" outlineLevel="0" collapsed="false">
      <c r="A22" s="4" t="s">
        <v>274</v>
      </c>
      <c r="B22" s="4" t="s">
        <v>62</v>
      </c>
      <c r="C22" s="4" t="s">
        <v>234</v>
      </c>
      <c r="D22" s="4" t="s">
        <v>275</v>
      </c>
      <c r="E22" s="4" t="s">
        <v>276</v>
      </c>
      <c r="F22" s="4" t="s">
        <v>27</v>
      </c>
      <c r="G22" s="4" t="s">
        <v>28</v>
      </c>
      <c r="H22" s="4" t="s">
        <v>29</v>
      </c>
      <c r="I22" s="4" t="n">
        <v>0</v>
      </c>
    </row>
    <row r="23" customFormat="false" ht="15" hidden="false" customHeight="false" outlineLevel="0" collapsed="false">
      <c r="A23" s="4" t="s">
        <v>277</v>
      </c>
      <c r="B23" s="4" t="s">
        <v>62</v>
      </c>
      <c r="C23" s="4" t="s">
        <v>231</v>
      </c>
      <c r="D23" s="4" t="s">
        <v>278</v>
      </c>
      <c r="E23" s="4" t="s">
        <v>26</v>
      </c>
      <c r="F23" s="4" t="s">
        <v>27</v>
      </c>
      <c r="G23" s="4" t="s">
        <v>28</v>
      </c>
      <c r="H23" s="4" t="s">
        <v>29</v>
      </c>
      <c r="I23" s="4" t="n">
        <v>9</v>
      </c>
    </row>
    <row r="24" customFormat="false" ht="15" hidden="false" customHeight="false" outlineLevel="0" collapsed="false">
      <c r="A24" s="4" t="s">
        <v>279</v>
      </c>
      <c r="B24" s="4" t="s">
        <v>66</v>
      </c>
      <c r="C24" s="4" t="s">
        <v>234</v>
      </c>
      <c r="D24" s="4" t="s">
        <v>280</v>
      </c>
      <c r="E24" s="4" t="s">
        <v>38</v>
      </c>
      <c r="F24" s="4" t="s">
        <v>39</v>
      </c>
      <c r="G24" s="4" t="s">
        <v>28</v>
      </c>
      <c r="H24" s="4" t="s">
        <v>29</v>
      </c>
      <c r="I24" s="4" t="n">
        <v>0</v>
      </c>
    </row>
    <row r="25" customFormat="false" ht="15" hidden="false" customHeight="false" outlineLevel="0" collapsed="false">
      <c r="A25" s="4" t="s">
        <v>281</v>
      </c>
      <c r="B25" s="4" t="s">
        <v>66</v>
      </c>
      <c r="C25" s="4" t="s">
        <v>234</v>
      </c>
      <c r="D25" s="4" t="s">
        <v>282</v>
      </c>
      <c r="E25" s="4" t="s">
        <v>26</v>
      </c>
      <c r="F25" s="4" t="s">
        <v>27</v>
      </c>
      <c r="G25" s="4" t="s">
        <v>28</v>
      </c>
      <c r="H25" s="4" t="s">
        <v>29</v>
      </c>
      <c r="I25" s="4" t="n">
        <v>0</v>
      </c>
    </row>
    <row r="26" customFormat="false" ht="15" hidden="false" customHeight="false" outlineLevel="0" collapsed="false">
      <c r="A26" s="4" t="s">
        <v>283</v>
      </c>
      <c r="B26" s="4" t="s">
        <v>66</v>
      </c>
      <c r="C26" s="4" t="s">
        <v>234</v>
      </c>
      <c r="D26" s="4" t="s">
        <v>284</v>
      </c>
      <c r="E26" s="4" t="s">
        <v>276</v>
      </c>
      <c r="F26" s="4" t="s">
        <v>34</v>
      </c>
      <c r="G26" s="4" t="s">
        <v>28</v>
      </c>
      <c r="H26" s="4" t="s">
        <v>29</v>
      </c>
      <c r="I26" s="4" t="n">
        <v>0</v>
      </c>
    </row>
    <row r="27" customFormat="false" ht="15" hidden="false" customHeight="false" outlineLevel="0" collapsed="false">
      <c r="A27" s="4" t="s">
        <v>285</v>
      </c>
      <c r="B27" s="4" t="s">
        <v>66</v>
      </c>
      <c r="C27" s="4" t="s">
        <v>231</v>
      </c>
      <c r="D27" s="4" t="s">
        <v>286</v>
      </c>
      <c r="E27" s="4" t="s">
        <v>276</v>
      </c>
      <c r="F27" s="4" t="s">
        <v>34</v>
      </c>
      <c r="G27" s="4" t="s">
        <v>28</v>
      </c>
      <c r="H27" s="4" t="s">
        <v>29</v>
      </c>
      <c r="I27" s="4" t="n">
        <v>0</v>
      </c>
    </row>
    <row r="28" customFormat="false" ht="15" hidden="false" customHeight="false" outlineLevel="0" collapsed="false">
      <c r="A28" s="4" t="s">
        <v>287</v>
      </c>
      <c r="B28" s="4" t="s">
        <v>77</v>
      </c>
      <c r="C28" s="4" t="s">
        <v>231</v>
      </c>
      <c r="D28" s="4" t="s">
        <v>288</v>
      </c>
      <c r="E28" s="4" t="s">
        <v>276</v>
      </c>
      <c r="F28" s="4" t="s">
        <v>34</v>
      </c>
      <c r="G28" s="4" t="s">
        <v>28</v>
      </c>
      <c r="H28" s="4" t="s">
        <v>29</v>
      </c>
      <c r="I28" s="4" t="n">
        <v>0</v>
      </c>
    </row>
    <row r="29" customFormat="false" ht="15" hidden="false" customHeight="false" outlineLevel="0" collapsed="false">
      <c r="A29" s="4" t="s">
        <v>289</v>
      </c>
      <c r="B29" s="4" t="s">
        <v>77</v>
      </c>
      <c r="C29" s="4" t="s">
        <v>234</v>
      </c>
      <c r="D29" s="4" t="s">
        <v>290</v>
      </c>
      <c r="E29" s="4" t="s">
        <v>38</v>
      </c>
      <c r="F29" s="4" t="s">
        <v>64</v>
      </c>
      <c r="G29" s="4" t="s">
        <v>28</v>
      </c>
      <c r="H29" s="4" t="s">
        <v>29</v>
      </c>
      <c r="I29" s="4" t="n">
        <v>0</v>
      </c>
    </row>
    <row r="30" customFormat="false" ht="15" hidden="false" customHeight="false" outlineLevel="0" collapsed="false">
      <c r="A30" s="4" t="s">
        <v>291</v>
      </c>
      <c r="B30" s="4" t="s">
        <v>77</v>
      </c>
      <c r="C30" s="4" t="s">
        <v>238</v>
      </c>
      <c r="D30" s="4" t="s">
        <v>292</v>
      </c>
      <c r="E30" s="4" t="s">
        <v>276</v>
      </c>
      <c r="F30" s="4" t="s">
        <v>27</v>
      </c>
      <c r="G30" s="4" t="s">
        <v>28</v>
      </c>
      <c r="H30" s="4" t="s">
        <v>29</v>
      </c>
      <c r="I30" s="4" t="n">
        <v>0</v>
      </c>
    </row>
    <row r="31" customFormat="false" ht="15" hidden="false" customHeight="false" outlineLevel="0" collapsed="false">
      <c r="A31" s="4" t="s">
        <v>293</v>
      </c>
      <c r="B31" s="4" t="s">
        <v>84</v>
      </c>
      <c r="C31" s="4" t="s">
        <v>238</v>
      </c>
      <c r="D31" s="4" t="s">
        <v>294</v>
      </c>
      <c r="E31" s="4" t="s">
        <v>276</v>
      </c>
      <c r="F31" s="4" t="s">
        <v>27</v>
      </c>
      <c r="G31" s="4" t="s">
        <v>28</v>
      </c>
      <c r="H31" s="4" t="s">
        <v>29</v>
      </c>
      <c r="I31" s="4" t="n">
        <v>0</v>
      </c>
    </row>
    <row r="32" customFormat="false" ht="15" hidden="false" customHeight="false" outlineLevel="0" collapsed="false">
      <c r="A32" s="4" t="s">
        <v>295</v>
      </c>
      <c r="B32" s="4" t="s">
        <v>84</v>
      </c>
      <c r="C32" s="4" t="s">
        <v>234</v>
      </c>
      <c r="D32" s="4" t="s">
        <v>296</v>
      </c>
      <c r="E32" s="4" t="s">
        <v>236</v>
      </c>
      <c r="F32" s="4" t="s">
        <v>34</v>
      </c>
      <c r="G32" s="4" t="s">
        <v>28</v>
      </c>
      <c r="H32" s="4" t="s">
        <v>29</v>
      </c>
      <c r="I32" s="4" t="n">
        <v>0</v>
      </c>
    </row>
    <row r="33" customFormat="false" ht="15" hidden="false" customHeight="false" outlineLevel="0" collapsed="false">
      <c r="A33" s="4" t="s">
        <v>297</v>
      </c>
      <c r="B33" s="4" t="s">
        <v>97</v>
      </c>
      <c r="C33" s="4" t="s">
        <v>231</v>
      </c>
      <c r="D33" s="4" t="s">
        <v>298</v>
      </c>
      <c r="E33" s="4" t="s">
        <v>276</v>
      </c>
      <c r="F33" s="4" t="s">
        <v>64</v>
      </c>
      <c r="G33" s="4" t="s">
        <v>28</v>
      </c>
      <c r="H33" s="4" t="s">
        <v>29</v>
      </c>
      <c r="I33" s="4" t="n">
        <v>0</v>
      </c>
    </row>
    <row r="34" customFormat="false" ht="15" hidden="false" customHeight="false" outlineLevel="0" collapsed="false">
      <c r="A34" s="4" t="s">
        <v>299</v>
      </c>
      <c r="B34" s="4" t="s">
        <v>110</v>
      </c>
      <c r="C34" s="4" t="s">
        <v>234</v>
      </c>
      <c r="D34" s="4" t="s">
        <v>300</v>
      </c>
      <c r="E34" s="4" t="s">
        <v>276</v>
      </c>
      <c r="F34" s="4" t="s">
        <v>39</v>
      </c>
      <c r="G34" s="4" t="s">
        <v>28</v>
      </c>
      <c r="H34" s="4" t="s">
        <v>29</v>
      </c>
      <c r="I34" s="4" t="n">
        <v>0</v>
      </c>
    </row>
    <row r="35" customFormat="false" ht="15" hidden="false" customHeight="false" outlineLevel="0" collapsed="false">
      <c r="A35" s="4" t="s">
        <v>301</v>
      </c>
      <c r="B35" s="4" t="s">
        <v>127</v>
      </c>
      <c r="C35" s="4" t="s">
        <v>234</v>
      </c>
      <c r="D35" s="4" t="s">
        <v>302</v>
      </c>
      <c r="E35" s="4" t="s">
        <v>26</v>
      </c>
      <c r="F35" s="4" t="s">
        <v>27</v>
      </c>
      <c r="G35" s="4" t="s">
        <v>28</v>
      </c>
      <c r="H35" s="4" t="s">
        <v>29</v>
      </c>
      <c r="I35" s="4" t="n">
        <v>1</v>
      </c>
    </row>
    <row r="36" customFormat="false" ht="15" hidden="false" customHeight="false" outlineLevel="0" collapsed="false">
      <c r="A36" s="4" t="s">
        <v>303</v>
      </c>
      <c r="B36" s="4" t="s">
        <v>127</v>
      </c>
      <c r="C36" s="4" t="s">
        <v>238</v>
      </c>
      <c r="D36" s="4" t="s">
        <v>304</v>
      </c>
      <c r="E36" s="4" t="s">
        <v>26</v>
      </c>
      <c r="F36" s="4" t="s">
        <v>34</v>
      </c>
      <c r="G36" s="4" t="s">
        <v>28</v>
      </c>
      <c r="H36" s="4" t="s">
        <v>29</v>
      </c>
      <c r="I36" s="4" t="n">
        <v>41</v>
      </c>
    </row>
    <row r="37" customFormat="false" ht="15" hidden="false" customHeight="false" outlineLevel="0" collapsed="false">
      <c r="A37" s="4" t="s">
        <v>305</v>
      </c>
      <c r="B37" s="4" t="s">
        <v>127</v>
      </c>
      <c r="C37" s="4" t="s">
        <v>234</v>
      </c>
      <c r="D37" s="4" t="s">
        <v>306</v>
      </c>
      <c r="E37" s="4" t="s">
        <v>26</v>
      </c>
      <c r="F37" s="4" t="s">
        <v>39</v>
      </c>
      <c r="G37" s="4" t="s">
        <v>28</v>
      </c>
      <c r="H37" s="4" t="s">
        <v>29</v>
      </c>
      <c r="I37" s="4" t="n">
        <v>40</v>
      </c>
    </row>
    <row r="38" customFormat="false" ht="15" hidden="false" customHeight="false" outlineLevel="0" collapsed="false">
      <c r="A38" s="4" t="s">
        <v>307</v>
      </c>
      <c r="B38" s="4" t="s">
        <v>127</v>
      </c>
      <c r="C38" s="4" t="s">
        <v>234</v>
      </c>
      <c r="D38" s="4" t="s">
        <v>308</v>
      </c>
      <c r="E38" s="4" t="s">
        <v>236</v>
      </c>
      <c r="F38" s="4" t="s">
        <v>34</v>
      </c>
      <c r="G38" s="4" t="s">
        <v>28</v>
      </c>
      <c r="H38" s="4" t="s">
        <v>29</v>
      </c>
      <c r="I38" s="4" t="n">
        <v>0</v>
      </c>
    </row>
    <row r="39" customFormat="false" ht="15" hidden="false" customHeight="false" outlineLevel="0" collapsed="false">
      <c r="A39" s="4" t="s">
        <v>309</v>
      </c>
      <c r="B39" s="4" t="s">
        <v>127</v>
      </c>
      <c r="C39" s="4" t="s">
        <v>234</v>
      </c>
      <c r="D39" s="4" t="s">
        <v>310</v>
      </c>
      <c r="E39" s="4" t="s">
        <v>276</v>
      </c>
      <c r="F39" s="4" t="s">
        <v>39</v>
      </c>
      <c r="G39" s="4" t="s">
        <v>28</v>
      </c>
      <c r="H39" s="4" t="s">
        <v>29</v>
      </c>
      <c r="I3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3" t="s">
        <v>311</v>
      </c>
      <c r="B1" s="3" t="s">
        <v>14</v>
      </c>
      <c r="C1" s="3" t="s">
        <v>15</v>
      </c>
      <c r="D1" s="3" t="s">
        <v>312</v>
      </c>
      <c r="E1" s="3" t="s">
        <v>17</v>
      </c>
      <c r="F1" s="3" t="s">
        <v>19</v>
      </c>
      <c r="G1" s="3" t="s">
        <v>20</v>
      </c>
      <c r="H1" s="3" t="s">
        <v>21</v>
      </c>
    </row>
    <row r="2" customFormat="false" ht="15" hidden="false" customHeight="false" outlineLevel="0" collapsed="false">
      <c r="A2" s="4" t="s">
        <v>313</v>
      </c>
      <c r="B2" s="4" t="s">
        <v>23</v>
      </c>
      <c r="C2" s="4" t="s">
        <v>44</v>
      </c>
      <c r="D2" s="4" t="s">
        <v>314</v>
      </c>
      <c r="E2" s="4" t="s">
        <v>54</v>
      </c>
      <c r="F2" s="4" t="s">
        <v>28</v>
      </c>
      <c r="G2" s="4" t="s">
        <v>29</v>
      </c>
      <c r="H2" s="4" t="n">
        <v>0</v>
      </c>
    </row>
    <row r="3" customFormat="false" ht="15" hidden="false" customHeight="false" outlineLevel="0" collapsed="false">
      <c r="A3" s="4" t="s">
        <v>315</v>
      </c>
      <c r="B3" s="4" t="s">
        <v>23</v>
      </c>
      <c r="C3" s="4" t="s">
        <v>24</v>
      </c>
      <c r="D3" s="4" t="s">
        <v>316</v>
      </c>
      <c r="E3" s="4" t="s">
        <v>26</v>
      </c>
      <c r="F3" s="4" t="s">
        <v>28</v>
      </c>
      <c r="G3" s="4" t="s">
        <v>29</v>
      </c>
      <c r="H3" s="4" t="n">
        <v>12</v>
      </c>
    </row>
    <row r="4" customFormat="false" ht="15" hidden="false" customHeight="false" outlineLevel="0" collapsed="false">
      <c r="A4" s="4" t="s">
        <v>317</v>
      </c>
      <c r="B4" s="4" t="s">
        <v>23</v>
      </c>
      <c r="C4" s="4" t="s">
        <v>44</v>
      </c>
      <c r="D4" s="4" t="s">
        <v>318</v>
      </c>
      <c r="E4" s="4" t="s">
        <v>54</v>
      </c>
      <c r="F4" s="4" t="s">
        <v>28</v>
      </c>
      <c r="G4" s="4" t="s">
        <v>29</v>
      </c>
      <c r="H4" s="4" t="n">
        <v>0</v>
      </c>
    </row>
    <row r="5" customFormat="false" ht="15" hidden="false" customHeight="false" outlineLevel="0" collapsed="false">
      <c r="A5" s="4" t="s">
        <v>319</v>
      </c>
      <c r="B5" s="4" t="s">
        <v>31</v>
      </c>
      <c r="C5" s="4" t="s">
        <v>36</v>
      </c>
      <c r="D5" s="4" t="s">
        <v>320</v>
      </c>
      <c r="E5" s="4" t="s">
        <v>38</v>
      </c>
      <c r="F5" s="4" t="s">
        <v>28</v>
      </c>
      <c r="G5" s="4" t="s">
        <v>29</v>
      </c>
      <c r="H5" s="4" t="n">
        <v>0</v>
      </c>
    </row>
    <row r="6" customFormat="false" ht="15" hidden="false" customHeight="false" outlineLevel="0" collapsed="false">
      <c r="A6" s="4" t="s">
        <v>321</v>
      </c>
      <c r="B6" s="4" t="s">
        <v>31</v>
      </c>
      <c r="C6" s="4" t="s">
        <v>36</v>
      </c>
      <c r="D6" s="4" t="s">
        <v>318</v>
      </c>
      <c r="E6" s="4" t="s">
        <v>38</v>
      </c>
      <c r="F6" s="4" t="s">
        <v>28</v>
      </c>
      <c r="G6" s="4" t="s">
        <v>29</v>
      </c>
      <c r="H6" s="4" t="n">
        <v>45</v>
      </c>
    </row>
    <row r="7" customFormat="false" ht="15" hidden="false" customHeight="false" outlineLevel="0" collapsed="false">
      <c r="A7" s="4" t="s">
        <v>322</v>
      </c>
      <c r="B7" s="4" t="s">
        <v>31</v>
      </c>
      <c r="C7" s="4" t="s">
        <v>24</v>
      </c>
      <c r="D7" s="4" t="s">
        <v>323</v>
      </c>
      <c r="E7" s="4" t="s">
        <v>38</v>
      </c>
      <c r="F7" s="4" t="s">
        <v>28</v>
      </c>
      <c r="G7" s="4" t="s">
        <v>29</v>
      </c>
      <c r="H7" s="4" t="n">
        <v>0</v>
      </c>
    </row>
    <row r="8" customFormat="false" ht="15" hidden="false" customHeight="false" outlineLevel="0" collapsed="false">
      <c r="A8" s="4" t="s">
        <v>324</v>
      </c>
      <c r="B8" s="4" t="s">
        <v>31</v>
      </c>
      <c r="C8" s="4" t="s">
        <v>36</v>
      </c>
      <c r="D8" s="4" t="s">
        <v>320</v>
      </c>
      <c r="E8" s="4" t="s">
        <v>54</v>
      </c>
      <c r="F8" s="4" t="s">
        <v>28</v>
      </c>
      <c r="G8" s="4" t="s">
        <v>29</v>
      </c>
      <c r="H8" s="4" t="n">
        <v>0</v>
      </c>
    </row>
    <row r="9" customFormat="false" ht="15" hidden="false" customHeight="false" outlineLevel="0" collapsed="false">
      <c r="A9" s="4" t="s">
        <v>325</v>
      </c>
      <c r="B9" s="4" t="s">
        <v>31</v>
      </c>
      <c r="C9" s="4" t="s">
        <v>44</v>
      </c>
      <c r="D9" s="4" t="s">
        <v>320</v>
      </c>
      <c r="E9" s="4" t="s">
        <v>26</v>
      </c>
      <c r="F9" s="4" t="s">
        <v>28</v>
      </c>
      <c r="G9" s="4" t="s">
        <v>29</v>
      </c>
      <c r="H9" s="4" t="n">
        <v>0</v>
      </c>
    </row>
    <row r="10" customFormat="false" ht="15" hidden="false" customHeight="false" outlineLevel="0" collapsed="false">
      <c r="A10" s="4" t="s">
        <v>326</v>
      </c>
      <c r="B10" s="4" t="s">
        <v>31</v>
      </c>
      <c r="C10" s="4" t="s">
        <v>36</v>
      </c>
      <c r="D10" s="4" t="s">
        <v>318</v>
      </c>
      <c r="E10" s="4" t="s">
        <v>26</v>
      </c>
      <c r="F10" s="4" t="s">
        <v>28</v>
      </c>
      <c r="G10" s="4" t="s">
        <v>29</v>
      </c>
      <c r="H10" s="4" t="n">
        <v>0</v>
      </c>
    </row>
    <row r="11" customFormat="false" ht="15" hidden="false" customHeight="false" outlineLevel="0" collapsed="false">
      <c r="A11" s="4" t="s">
        <v>327</v>
      </c>
      <c r="B11" s="4" t="s">
        <v>31</v>
      </c>
      <c r="C11" s="4" t="s">
        <v>36</v>
      </c>
      <c r="D11" s="4" t="s">
        <v>323</v>
      </c>
      <c r="E11" s="4" t="s">
        <v>38</v>
      </c>
      <c r="F11" s="4" t="s">
        <v>28</v>
      </c>
      <c r="G11" s="4" t="s">
        <v>29</v>
      </c>
      <c r="H11" s="4" t="n">
        <v>0</v>
      </c>
    </row>
    <row r="12" customFormat="false" ht="15" hidden="false" customHeight="false" outlineLevel="0" collapsed="false">
      <c r="A12" s="4" t="s">
        <v>328</v>
      </c>
      <c r="B12" s="4" t="s">
        <v>31</v>
      </c>
      <c r="C12" s="4" t="s">
        <v>44</v>
      </c>
      <c r="D12" s="4" t="s">
        <v>323</v>
      </c>
      <c r="E12" s="4" t="s">
        <v>26</v>
      </c>
      <c r="F12" s="4" t="s">
        <v>28</v>
      </c>
      <c r="G12" s="4" t="s">
        <v>29</v>
      </c>
      <c r="H12" s="4" t="n">
        <v>0</v>
      </c>
    </row>
    <row r="13" customFormat="false" ht="15" hidden="false" customHeight="false" outlineLevel="0" collapsed="false">
      <c r="A13" s="4" t="s">
        <v>329</v>
      </c>
      <c r="B13" s="4" t="s">
        <v>59</v>
      </c>
      <c r="C13" s="4" t="s">
        <v>44</v>
      </c>
      <c r="D13" s="4" t="s">
        <v>318</v>
      </c>
      <c r="E13" s="4" t="s">
        <v>38</v>
      </c>
      <c r="F13" s="4" t="s">
        <v>28</v>
      </c>
      <c r="G13" s="4" t="s">
        <v>29</v>
      </c>
      <c r="H13" s="4" t="n">
        <v>0</v>
      </c>
    </row>
    <row r="14" customFormat="false" ht="15" hidden="false" customHeight="false" outlineLevel="0" collapsed="false">
      <c r="A14" s="4" t="s">
        <v>330</v>
      </c>
      <c r="B14" s="4" t="s">
        <v>59</v>
      </c>
      <c r="C14" s="4" t="s">
        <v>36</v>
      </c>
      <c r="D14" s="4" t="s">
        <v>331</v>
      </c>
      <c r="E14" s="4" t="s">
        <v>54</v>
      </c>
      <c r="F14" s="4" t="s">
        <v>28</v>
      </c>
      <c r="G14" s="4" t="s">
        <v>29</v>
      </c>
      <c r="H14" s="4" t="n">
        <v>0</v>
      </c>
    </row>
    <row r="15" customFormat="false" ht="15" hidden="false" customHeight="false" outlineLevel="0" collapsed="false">
      <c r="A15" s="4" t="s">
        <v>332</v>
      </c>
      <c r="B15" s="4" t="s">
        <v>59</v>
      </c>
      <c r="C15" s="4" t="s">
        <v>32</v>
      </c>
      <c r="D15" s="4" t="s">
        <v>320</v>
      </c>
      <c r="E15" s="4" t="s">
        <v>54</v>
      </c>
      <c r="F15" s="4" t="s">
        <v>28</v>
      </c>
      <c r="G15" s="4" t="s">
        <v>29</v>
      </c>
      <c r="H15" s="4" t="n">
        <v>0</v>
      </c>
    </row>
    <row r="16" customFormat="false" ht="15" hidden="false" customHeight="false" outlineLevel="0" collapsed="false">
      <c r="A16" s="4" t="s">
        <v>333</v>
      </c>
      <c r="B16" s="4" t="s">
        <v>59</v>
      </c>
      <c r="C16" s="4" t="s">
        <v>48</v>
      </c>
      <c r="D16" s="4" t="s">
        <v>314</v>
      </c>
      <c r="E16" s="4" t="s">
        <v>54</v>
      </c>
      <c r="F16" s="4" t="s">
        <v>28</v>
      </c>
      <c r="G16" s="4" t="s">
        <v>29</v>
      </c>
      <c r="H16" s="4" t="n">
        <v>0</v>
      </c>
    </row>
    <row r="17" customFormat="false" ht="15" hidden="false" customHeight="false" outlineLevel="0" collapsed="false">
      <c r="A17" s="4" t="s">
        <v>334</v>
      </c>
      <c r="B17" s="4" t="s">
        <v>59</v>
      </c>
      <c r="C17" s="4" t="s">
        <v>32</v>
      </c>
      <c r="D17" s="4" t="s">
        <v>331</v>
      </c>
      <c r="E17" s="4" t="s">
        <v>38</v>
      </c>
      <c r="F17" s="4" t="s">
        <v>28</v>
      </c>
      <c r="G17" s="4" t="s">
        <v>29</v>
      </c>
      <c r="H17" s="4" t="n">
        <v>17</v>
      </c>
    </row>
    <row r="18" customFormat="false" ht="15" hidden="false" customHeight="false" outlineLevel="0" collapsed="false">
      <c r="A18" s="4" t="s">
        <v>335</v>
      </c>
      <c r="B18" s="4" t="s">
        <v>62</v>
      </c>
      <c r="C18" s="4" t="s">
        <v>41</v>
      </c>
      <c r="D18" s="4" t="s">
        <v>336</v>
      </c>
      <c r="E18" s="4" t="s">
        <v>38</v>
      </c>
      <c r="F18" s="4" t="s">
        <v>28</v>
      </c>
      <c r="G18" s="4" t="s">
        <v>29</v>
      </c>
      <c r="H18" s="4" t="n">
        <v>0</v>
      </c>
    </row>
    <row r="19" customFormat="false" ht="15" hidden="false" customHeight="false" outlineLevel="0" collapsed="false">
      <c r="A19" s="4" t="s">
        <v>337</v>
      </c>
      <c r="B19" s="4" t="s">
        <v>62</v>
      </c>
      <c r="C19" s="4" t="s">
        <v>56</v>
      </c>
      <c r="D19" s="4" t="s">
        <v>336</v>
      </c>
      <c r="E19" s="4" t="s">
        <v>38</v>
      </c>
      <c r="F19" s="4" t="s">
        <v>28</v>
      </c>
      <c r="G19" s="4" t="s">
        <v>29</v>
      </c>
      <c r="H19" s="4" t="n">
        <v>8</v>
      </c>
    </row>
    <row r="20" customFormat="false" ht="15" hidden="false" customHeight="false" outlineLevel="0" collapsed="false">
      <c r="A20" s="4" t="s">
        <v>338</v>
      </c>
      <c r="B20" s="4" t="s">
        <v>62</v>
      </c>
      <c r="C20" s="4" t="s">
        <v>48</v>
      </c>
      <c r="D20" s="4" t="s">
        <v>316</v>
      </c>
      <c r="E20" s="4" t="s">
        <v>54</v>
      </c>
      <c r="F20" s="4" t="s">
        <v>28</v>
      </c>
      <c r="G20" s="4" t="s">
        <v>29</v>
      </c>
      <c r="H20" s="4" t="n">
        <v>0</v>
      </c>
    </row>
    <row r="21" customFormat="false" ht="15" hidden="false" customHeight="false" outlineLevel="0" collapsed="false">
      <c r="A21" s="4" t="s">
        <v>339</v>
      </c>
      <c r="B21" s="4" t="s">
        <v>62</v>
      </c>
      <c r="C21" s="4" t="s">
        <v>56</v>
      </c>
      <c r="D21" s="4" t="s">
        <v>323</v>
      </c>
      <c r="E21" s="4" t="s">
        <v>26</v>
      </c>
      <c r="F21" s="4" t="s">
        <v>28</v>
      </c>
      <c r="G21" s="4" t="s">
        <v>29</v>
      </c>
      <c r="H21" s="4" t="n">
        <v>0</v>
      </c>
    </row>
    <row r="22" customFormat="false" ht="15" hidden="false" customHeight="false" outlineLevel="0" collapsed="false">
      <c r="A22" s="4" t="s">
        <v>340</v>
      </c>
      <c r="B22" s="4" t="s">
        <v>62</v>
      </c>
      <c r="C22" s="4" t="s">
        <v>36</v>
      </c>
      <c r="D22" s="4" t="s">
        <v>314</v>
      </c>
      <c r="E22" s="4" t="s">
        <v>54</v>
      </c>
      <c r="F22" s="4" t="s">
        <v>28</v>
      </c>
      <c r="G22" s="4" t="s">
        <v>29</v>
      </c>
      <c r="H22" s="4" t="n">
        <v>0</v>
      </c>
    </row>
    <row r="23" customFormat="false" ht="15" hidden="false" customHeight="false" outlineLevel="0" collapsed="false">
      <c r="A23" s="4" t="s">
        <v>341</v>
      </c>
      <c r="B23" s="4" t="s">
        <v>62</v>
      </c>
      <c r="C23" s="4" t="s">
        <v>24</v>
      </c>
      <c r="D23" s="4" t="s">
        <v>323</v>
      </c>
      <c r="E23" s="4" t="s">
        <v>38</v>
      </c>
      <c r="F23" s="4" t="s">
        <v>28</v>
      </c>
      <c r="G23" s="4" t="s">
        <v>29</v>
      </c>
      <c r="H23" s="4" t="n">
        <v>0</v>
      </c>
    </row>
    <row r="24" customFormat="false" ht="15" hidden="false" customHeight="false" outlineLevel="0" collapsed="false">
      <c r="A24" s="4" t="s">
        <v>342</v>
      </c>
      <c r="B24" s="4" t="s">
        <v>66</v>
      </c>
      <c r="C24" s="4" t="s">
        <v>44</v>
      </c>
      <c r="D24" s="4" t="s">
        <v>323</v>
      </c>
      <c r="E24" s="4" t="s">
        <v>26</v>
      </c>
      <c r="F24" s="4" t="s">
        <v>28</v>
      </c>
      <c r="G24" s="4" t="s">
        <v>29</v>
      </c>
      <c r="H24" s="4" t="n">
        <v>45</v>
      </c>
    </row>
    <row r="25" customFormat="false" ht="15" hidden="false" customHeight="false" outlineLevel="0" collapsed="false">
      <c r="A25" s="4" t="s">
        <v>343</v>
      </c>
      <c r="B25" s="4" t="s">
        <v>66</v>
      </c>
      <c r="C25" s="4" t="s">
        <v>32</v>
      </c>
      <c r="D25" s="4" t="s">
        <v>320</v>
      </c>
      <c r="E25" s="4" t="s">
        <v>26</v>
      </c>
      <c r="F25" s="4" t="s">
        <v>28</v>
      </c>
      <c r="G25" s="4" t="s">
        <v>29</v>
      </c>
      <c r="H25" s="4" t="n">
        <v>45</v>
      </c>
    </row>
    <row r="26" customFormat="false" ht="15" hidden="false" customHeight="false" outlineLevel="0" collapsed="false">
      <c r="A26" s="4" t="s">
        <v>344</v>
      </c>
      <c r="B26" s="4" t="s">
        <v>77</v>
      </c>
      <c r="C26" s="4" t="s">
        <v>48</v>
      </c>
      <c r="D26" s="4" t="s">
        <v>314</v>
      </c>
      <c r="E26" s="4" t="s">
        <v>54</v>
      </c>
      <c r="F26" s="4" t="s">
        <v>28</v>
      </c>
      <c r="G26" s="4" t="s">
        <v>29</v>
      </c>
      <c r="H26" s="4" t="n">
        <v>0</v>
      </c>
    </row>
    <row r="27" customFormat="false" ht="15" hidden="false" customHeight="false" outlineLevel="0" collapsed="false">
      <c r="A27" s="4" t="s">
        <v>345</v>
      </c>
      <c r="B27" s="4" t="s">
        <v>77</v>
      </c>
      <c r="C27" s="4" t="s">
        <v>41</v>
      </c>
      <c r="D27" s="4" t="s">
        <v>336</v>
      </c>
      <c r="E27" s="4" t="s">
        <v>38</v>
      </c>
      <c r="F27" s="4" t="s">
        <v>28</v>
      </c>
      <c r="G27" s="4" t="s">
        <v>29</v>
      </c>
      <c r="H27" s="4" t="n">
        <v>0</v>
      </c>
    </row>
    <row r="28" customFormat="false" ht="15" hidden="false" customHeight="false" outlineLevel="0" collapsed="false">
      <c r="A28" s="4" t="s">
        <v>346</v>
      </c>
      <c r="B28" s="4" t="s">
        <v>77</v>
      </c>
      <c r="C28" s="4" t="s">
        <v>56</v>
      </c>
      <c r="D28" s="4" t="s">
        <v>320</v>
      </c>
      <c r="E28" s="4" t="s">
        <v>38</v>
      </c>
      <c r="F28" s="4" t="s">
        <v>28</v>
      </c>
      <c r="G28" s="4" t="s">
        <v>29</v>
      </c>
      <c r="H28" s="4" t="n">
        <v>0</v>
      </c>
    </row>
    <row r="29" customFormat="false" ht="15" hidden="false" customHeight="false" outlineLevel="0" collapsed="false">
      <c r="A29" s="4" t="s">
        <v>347</v>
      </c>
      <c r="B29" s="4" t="s">
        <v>77</v>
      </c>
      <c r="C29" s="4" t="s">
        <v>36</v>
      </c>
      <c r="D29" s="4" t="s">
        <v>314</v>
      </c>
      <c r="E29" s="4" t="s">
        <v>26</v>
      </c>
      <c r="F29" s="4" t="s">
        <v>28</v>
      </c>
      <c r="G29" s="4" t="s">
        <v>29</v>
      </c>
      <c r="H29" s="4" t="n">
        <v>0</v>
      </c>
    </row>
    <row r="30" customFormat="false" ht="15" hidden="false" customHeight="false" outlineLevel="0" collapsed="false">
      <c r="A30" s="4" t="s">
        <v>348</v>
      </c>
      <c r="B30" s="4" t="s">
        <v>84</v>
      </c>
      <c r="C30" s="4" t="s">
        <v>56</v>
      </c>
      <c r="D30" s="4" t="s">
        <v>318</v>
      </c>
      <c r="E30" s="4" t="s">
        <v>26</v>
      </c>
      <c r="F30" s="4" t="s">
        <v>28</v>
      </c>
      <c r="G30" s="4" t="s">
        <v>29</v>
      </c>
      <c r="H30" s="4" t="n">
        <v>0</v>
      </c>
    </row>
    <row r="31" customFormat="false" ht="15" hidden="false" customHeight="false" outlineLevel="0" collapsed="false">
      <c r="A31" s="4" t="s">
        <v>349</v>
      </c>
      <c r="B31" s="4" t="s">
        <v>84</v>
      </c>
      <c r="C31" s="4" t="s">
        <v>56</v>
      </c>
      <c r="D31" s="4" t="s">
        <v>331</v>
      </c>
      <c r="E31" s="4" t="s">
        <v>54</v>
      </c>
      <c r="F31" s="4" t="s">
        <v>28</v>
      </c>
      <c r="G31" s="4" t="s">
        <v>29</v>
      </c>
      <c r="H31" s="4" t="n">
        <v>0</v>
      </c>
    </row>
    <row r="32" customFormat="false" ht="15" hidden="false" customHeight="false" outlineLevel="0" collapsed="false">
      <c r="A32" s="4" t="s">
        <v>350</v>
      </c>
      <c r="B32" s="4" t="s">
        <v>84</v>
      </c>
      <c r="C32" s="4" t="s">
        <v>41</v>
      </c>
      <c r="D32" s="4" t="s">
        <v>320</v>
      </c>
      <c r="E32" s="4" t="s">
        <v>38</v>
      </c>
      <c r="F32" s="4" t="s">
        <v>28</v>
      </c>
      <c r="G32" s="4" t="s">
        <v>29</v>
      </c>
      <c r="H32" s="4" t="n">
        <v>0</v>
      </c>
    </row>
    <row r="33" customFormat="false" ht="15" hidden="false" customHeight="false" outlineLevel="0" collapsed="false">
      <c r="A33" s="4" t="s">
        <v>351</v>
      </c>
      <c r="B33" s="4" t="s">
        <v>84</v>
      </c>
      <c r="C33" s="4" t="s">
        <v>48</v>
      </c>
      <c r="D33" s="4" t="s">
        <v>323</v>
      </c>
      <c r="E33" s="4" t="s">
        <v>54</v>
      </c>
      <c r="F33" s="4" t="s">
        <v>28</v>
      </c>
      <c r="G33" s="4" t="s">
        <v>29</v>
      </c>
      <c r="H33" s="4" t="n">
        <v>0</v>
      </c>
    </row>
    <row r="34" customFormat="false" ht="15" hidden="false" customHeight="false" outlineLevel="0" collapsed="false">
      <c r="A34" s="4" t="s">
        <v>352</v>
      </c>
      <c r="B34" s="4" t="s">
        <v>97</v>
      </c>
      <c r="C34" s="4" t="s">
        <v>32</v>
      </c>
      <c r="D34" s="4" t="s">
        <v>318</v>
      </c>
      <c r="E34" s="4" t="s">
        <v>26</v>
      </c>
      <c r="F34" s="4" t="s">
        <v>28</v>
      </c>
      <c r="G34" s="4" t="s">
        <v>29</v>
      </c>
      <c r="H34" s="4" t="n">
        <v>41</v>
      </c>
    </row>
    <row r="35" customFormat="false" ht="15" hidden="false" customHeight="false" outlineLevel="0" collapsed="false">
      <c r="A35" s="4" t="s">
        <v>353</v>
      </c>
      <c r="B35" s="4" t="s">
        <v>97</v>
      </c>
      <c r="C35" s="4" t="s">
        <v>41</v>
      </c>
      <c r="D35" s="4" t="s">
        <v>331</v>
      </c>
      <c r="E35" s="4" t="s">
        <v>26</v>
      </c>
      <c r="F35" s="4" t="s">
        <v>28</v>
      </c>
      <c r="G35" s="4" t="s">
        <v>29</v>
      </c>
      <c r="H35" s="4" t="n">
        <v>0</v>
      </c>
    </row>
    <row r="36" customFormat="false" ht="15" hidden="false" customHeight="false" outlineLevel="0" collapsed="false">
      <c r="A36" s="4" t="s">
        <v>354</v>
      </c>
      <c r="B36" s="4" t="s">
        <v>97</v>
      </c>
      <c r="C36" s="4" t="s">
        <v>41</v>
      </c>
      <c r="D36" s="4" t="s">
        <v>314</v>
      </c>
      <c r="E36" s="4" t="s">
        <v>26</v>
      </c>
      <c r="F36" s="4" t="s">
        <v>28</v>
      </c>
      <c r="G36" s="4" t="s">
        <v>29</v>
      </c>
      <c r="H36" s="4" t="n">
        <v>19</v>
      </c>
    </row>
    <row r="37" customFormat="false" ht="15" hidden="false" customHeight="false" outlineLevel="0" collapsed="false">
      <c r="A37" s="4" t="s">
        <v>355</v>
      </c>
      <c r="B37" s="4" t="s">
        <v>97</v>
      </c>
      <c r="C37" s="4" t="s">
        <v>32</v>
      </c>
      <c r="D37" s="4" t="s">
        <v>320</v>
      </c>
      <c r="E37" s="4" t="s">
        <v>26</v>
      </c>
      <c r="F37" s="4" t="s">
        <v>28</v>
      </c>
      <c r="G37" s="4" t="s">
        <v>29</v>
      </c>
      <c r="H37" s="4" t="n">
        <v>0</v>
      </c>
    </row>
    <row r="38" customFormat="false" ht="15" hidden="false" customHeight="false" outlineLevel="0" collapsed="false">
      <c r="A38" s="4" t="s">
        <v>356</v>
      </c>
      <c r="B38" s="4" t="s">
        <v>110</v>
      </c>
      <c r="C38" s="4" t="s">
        <v>36</v>
      </c>
      <c r="D38" s="4" t="s">
        <v>323</v>
      </c>
      <c r="E38" s="4" t="s">
        <v>54</v>
      </c>
      <c r="F38" s="4" t="s">
        <v>28</v>
      </c>
      <c r="G38" s="4" t="s">
        <v>29</v>
      </c>
      <c r="H38" s="4" t="n">
        <v>0</v>
      </c>
    </row>
    <row r="39" customFormat="false" ht="15" hidden="false" customHeight="false" outlineLevel="0" collapsed="false">
      <c r="A39" s="4" t="s">
        <v>357</v>
      </c>
      <c r="B39" s="4" t="s">
        <v>110</v>
      </c>
      <c r="C39" s="4" t="s">
        <v>56</v>
      </c>
      <c r="D39" s="4" t="s">
        <v>316</v>
      </c>
      <c r="E39" s="4" t="s">
        <v>38</v>
      </c>
      <c r="F39" s="4" t="s">
        <v>28</v>
      </c>
      <c r="G39" s="4" t="s">
        <v>29</v>
      </c>
      <c r="H39" s="4" t="n">
        <v>0</v>
      </c>
    </row>
    <row r="40" customFormat="false" ht="15" hidden="false" customHeight="false" outlineLevel="0" collapsed="false">
      <c r="A40" s="4" t="s">
        <v>358</v>
      </c>
      <c r="B40" s="4" t="s">
        <v>110</v>
      </c>
      <c r="C40" s="4" t="s">
        <v>24</v>
      </c>
      <c r="D40" s="4" t="s">
        <v>316</v>
      </c>
      <c r="E40" s="4" t="s">
        <v>54</v>
      </c>
      <c r="F40" s="4" t="s">
        <v>28</v>
      </c>
      <c r="G40" s="4" t="s">
        <v>29</v>
      </c>
      <c r="H40" s="4" t="n">
        <v>0</v>
      </c>
    </row>
    <row r="41" customFormat="false" ht="15" hidden="false" customHeight="false" outlineLevel="0" collapsed="false">
      <c r="A41" s="4" t="s">
        <v>359</v>
      </c>
      <c r="B41" s="4" t="s">
        <v>110</v>
      </c>
      <c r="C41" s="4" t="s">
        <v>32</v>
      </c>
      <c r="D41" s="4" t="s">
        <v>336</v>
      </c>
      <c r="E41" s="4" t="s">
        <v>26</v>
      </c>
      <c r="F41" s="4" t="s">
        <v>28</v>
      </c>
      <c r="G41" s="4" t="s">
        <v>29</v>
      </c>
      <c r="H41" s="4" t="n">
        <v>29</v>
      </c>
    </row>
    <row r="42" customFormat="false" ht="15" hidden="false" customHeight="false" outlineLevel="0" collapsed="false">
      <c r="A42" s="4" t="s">
        <v>360</v>
      </c>
      <c r="B42" s="4" t="s">
        <v>110</v>
      </c>
      <c r="C42" s="4" t="s">
        <v>36</v>
      </c>
      <c r="D42" s="4" t="s">
        <v>318</v>
      </c>
      <c r="E42" s="4" t="s">
        <v>54</v>
      </c>
      <c r="F42" s="4" t="s">
        <v>28</v>
      </c>
      <c r="G42" s="4" t="s">
        <v>29</v>
      </c>
      <c r="H42" s="4" t="n">
        <v>0</v>
      </c>
    </row>
    <row r="43" customFormat="false" ht="15" hidden="false" customHeight="false" outlineLevel="0" collapsed="false">
      <c r="A43" s="4" t="s">
        <v>361</v>
      </c>
      <c r="B43" s="4" t="s">
        <v>110</v>
      </c>
      <c r="C43" s="4" t="s">
        <v>32</v>
      </c>
      <c r="D43" s="4" t="s">
        <v>320</v>
      </c>
      <c r="E43" s="4" t="s">
        <v>38</v>
      </c>
      <c r="F43" s="4" t="s">
        <v>28</v>
      </c>
      <c r="G43" s="4" t="s">
        <v>29</v>
      </c>
      <c r="H43" s="4" t="n">
        <v>36</v>
      </c>
    </row>
    <row r="44" customFormat="false" ht="15" hidden="false" customHeight="false" outlineLevel="0" collapsed="false">
      <c r="A44" s="4" t="s">
        <v>362</v>
      </c>
      <c r="B44" s="4" t="s">
        <v>110</v>
      </c>
      <c r="C44" s="4" t="s">
        <v>48</v>
      </c>
      <c r="D44" s="4" t="s">
        <v>318</v>
      </c>
      <c r="E44" s="4" t="s">
        <v>54</v>
      </c>
      <c r="F44" s="4" t="s">
        <v>28</v>
      </c>
      <c r="G44" s="4" t="s">
        <v>29</v>
      </c>
      <c r="H44" s="4" t="n">
        <v>0</v>
      </c>
    </row>
    <row r="45" customFormat="false" ht="15" hidden="false" customHeight="false" outlineLevel="0" collapsed="false">
      <c r="A45" s="4" t="s">
        <v>363</v>
      </c>
      <c r="B45" s="4" t="s">
        <v>110</v>
      </c>
      <c r="C45" s="4" t="s">
        <v>48</v>
      </c>
      <c r="D45" s="4" t="s">
        <v>314</v>
      </c>
      <c r="E45" s="4" t="s">
        <v>54</v>
      </c>
      <c r="F45" s="4" t="s">
        <v>28</v>
      </c>
      <c r="G45" s="4" t="s">
        <v>29</v>
      </c>
      <c r="H45" s="4" t="n">
        <v>0</v>
      </c>
    </row>
    <row r="46" customFormat="false" ht="15" hidden="false" customHeight="false" outlineLevel="0" collapsed="false">
      <c r="A46" s="4" t="s">
        <v>364</v>
      </c>
      <c r="B46" s="4" t="s">
        <v>127</v>
      </c>
      <c r="C46" s="4" t="s">
        <v>41</v>
      </c>
      <c r="D46" s="4" t="s">
        <v>323</v>
      </c>
      <c r="E46" s="4" t="s">
        <v>54</v>
      </c>
      <c r="F46" s="4" t="s">
        <v>28</v>
      </c>
      <c r="G46" s="4" t="s">
        <v>29</v>
      </c>
      <c r="H46" s="4" t="n">
        <v>0</v>
      </c>
    </row>
    <row r="47" customFormat="false" ht="15" hidden="false" customHeight="false" outlineLevel="0" collapsed="false">
      <c r="A47" s="4" t="s">
        <v>365</v>
      </c>
      <c r="B47" s="4" t="s">
        <v>127</v>
      </c>
      <c r="C47" s="4" t="s">
        <v>48</v>
      </c>
      <c r="D47" s="4" t="s">
        <v>316</v>
      </c>
      <c r="E47" s="4" t="s">
        <v>54</v>
      </c>
      <c r="F47" s="4" t="s">
        <v>28</v>
      </c>
      <c r="G47" s="4" t="s">
        <v>29</v>
      </c>
      <c r="H47" s="4" t="n">
        <v>0</v>
      </c>
    </row>
    <row r="48" customFormat="false" ht="15" hidden="false" customHeight="false" outlineLevel="0" collapsed="false">
      <c r="A48" s="4" t="s">
        <v>366</v>
      </c>
      <c r="B48" s="4" t="s">
        <v>127</v>
      </c>
      <c r="C48" s="4" t="s">
        <v>44</v>
      </c>
      <c r="D48" s="4" t="s">
        <v>323</v>
      </c>
      <c r="E48" s="4" t="s">
        <v>38</v>
      </c>
      <c r="F48" s="4" t="s">
        <v>28</v>
      </c>
      <c r="G48" s="4" t="s">
        <v>29</v>
      </c>
      <c r="H48" s="4" t="n">
        <v>0</v>
      </c>
    </row>
    <row r="49" customFormat="false" ht="15" hidden="false" customHeight="false" outlineLevel="0" collapsed="false">
      <c r="A49" s="4" t="s">
        <v>367</v>
      </c>
      <c r="B49" s="4" t="s">
        <v>127</v>
      </c>
      <c r="C49" s="4" t="s">
        <v>44</v>
      </c>
      <c r="D49" s="4" t="s">
        <v>318</v>
      </c>
      <c r="E49" s="4" t="s">
        <v>26</v>
      </c>
      <c r="F49" s="4" t="s">
        <v>28</v>
      </c>
      <c r="G49" s="4" t="s">
        <v>29</v>
      </c>
      <c r="H49" s="4" t="n">
        <v>0</v>
      </c>
    </row>
    <row r="50" customFormat="false" ht="15" hidden="false" customHeight="false" outlineLevel="0" collapsed="false">
      <c r="A50" s="4" t="s">
        <v>368</v>
      </c>
      <c r="B50" s="4" t="s">
        <v>127</v>
      </c>
      <c r="C50" s="4" t="s">
        <v>41</v>
      </c>
      <c r="D50" s="4" t="s">
        <v>323</v>
      </c>
      <c r="E50" s="4" t="s">
        <v>54</v>
      </c>
      <c r="F50" s="4" t="s">
        <v>28</v>
      </c>
      <c r="G50" s="4" t="s">
        <v>29</v>
      </c>
      <c r="H50" s="4" t="n">
        <v>0</v>
      </c>
    </row>
    <row r="51" customFormat="false" ht="15" hidden="false" customHeight="false" outlineLevel="0" collapsed="false">
      <c r="A51" s="4" t="s">
        <v>369</v>
      </c>
      <c r="B51" s="4" t="s">
        <v>127</v>
      </c>
      <c r="C51" s="4" t="s">
        <v>56</v>
      </c>
      <c r="D51" s="4" t="s">
        <v>336</v>
      </c>
      <c r="E51" s="4" t="s">
        <v>26</v>
      </c>
      <c r="F51" s="4" t="s">
        <v>28</v>
      </c>
      <c r="G51" s="4" t="s">
        <v>29</v>
      </c>
      <c r="H51" s="4" t="n">
        <v>0</v>
      </c>
    </row>
    <row r="52" customFormat="false" ht="15" hidden="false" customHeight="false" outlineLevel="0" collapsed="false">
      <c r="A52" s="4" t="s">
        <v>370</v>
      </c>
      <c r="B52" s="4" t="s">
        <v>127</v>
      </c>
      <c r="C52" s="4" t="s">
        <v>36</v>
      </c>
      <c r="D52" s="4" t="s">
        <v>320</v>
      </c>
      <c r="E52" s="4" t="s">
        <v>26</v>
      </c>
      <c r="F52" s="4" t="s">
        <v>28</v>
      </c>
      <c r="G52" s="4" t="s">
        <v>29</v>
      </c>
      <c r="H52" s="4" t="n">
        <v>0</v>
      </c>
    </row>
    <row r="53" customFormat="false" ht="15" hidden="false" customHeight="false" outlineLevel="0" collapsed="false">
      <c r="A53" s="4" t="s">
        <v>371</v>
      </c>
      <c r="B53" s="4" t="s">
        <v>127</v>
      </c>
      <c r="C53" s="4" t="s">
        <v>41</v>
      </c>
      <c r="D53" s="4" t="s">
        <v>316</v>
      </c>
      <c r="E53" s="4" t="s">
        <v>54</v>
      </c>
      <c r="F53" s="4" t="s">
        <v>28</v>
      </c>
      <c r="G53" s="4" t="s">
        <v>29</v>
      </c>
      <c r="H53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26"/>
  </cols>
  <sheetData>
    <row r="1" customFormat="false" ht="27.75" hidden="false" customHeight="true" outlineLevel="0" collapsed="false">
      <c r="A1" s="3" t="s">
        <v>14</v>
      </c>
      <c r="B1" s="3" t="s">
        <v>372</v>
      </c>
      <c r="C1" s="3" t="s">
        <v>373</v>
      </c>
      <c r="D1" s="3" t="s">
        <v>374</v>
      </c>
      <c r="E1" s="3" t="s">
        <v>375</v>
      </c>
      <c r="F1" s="3" t="s">
        <v>376</v>
      </c>
      <c r="G1" s="3" t="s">
        <v>377</v>
      </c>
      <c r="H1" s="3" t="s">
        <v>378</v>
      </c>
      <c r="I1" s="3" t="s">
        <v>379</v>
      </c>
      <c r="J1" s="3" t="s">
        <v>380</v>
      </c>
      <c r="K1" s="3" t="s">
        <v>381</v>
      </c>
      <c r="L1" s="3" t="s">
        <v>382</v>
      </c>
    </row>
    <row r="2" customFormat="false" ht="15" hidden="false" customHeight="false" outlineLevel="0" collapsed="false">
      <c r="A2" s="4" t="s">
        <v>23</v>
      </c>
      <c r="B2" s="4" t="n">
        <f aca="false">COUNTIF(Observations!$B:$B,$A2)-COUNTIFS(Observations!$B:$B,$A2,Observations!$E:$E,"Closed")-COUNTIFS(Observations!$B:$B,$A2,Observations!$E:$E,"Void")</f>
        <v>1</v>
      </c>
      <c r="C2" s="4" t="n">
        <f aca="false">COUNTIF(Punch_List!$B:$B,$A2)-COUNTIFS(Punch_List!$B:$B,$A2,Punch_List!$E:$E,"Closed")-COUNTIFS(Punch_List!$B:$B,$A2,Punch_List!$E:$E,"Void")</f>
        <v>2</v>
      </c>
      <c r="D2" s="4" t="n">
        <f aca="false">COUNTIF(Actions!$B:$B,$A2)-COUNTIFS(Actions!$B:$B,$A2,Actions!$E:$E,"Complete")-COUNTIFS(Actions!$B:$B,$A2,Actions!$E:$E,"Cancelled")</f>
        <v>4</v>
      </c>
      <c r="E2" s="4" t="n">
        <f aca="false">COUNTIFS(Observations!$B:$B,$A2,Observations!$I:$I,"&gt;0")</f>
        <v>0</v>
      </c>
      <c r="F2" s="4" t="n">
        <f aca="false">COUNTIFS(Punch_List!$B:$B,$A2,Punch_List!$I:$I,"&gt;0")</f>
        <v>0</v>
      </c>
      <c r="G2" s="4" t="n">
        <f aca="false">COUNTIFS(Actions!$B:$B,$A2,Actions!$I:$I,"&gt;0")</f>
        <v>2</v>
      </c>
      <c r="H2" s="4" t="n">
        <f aca="false">COUNTIFS(QAQC_Items!$B:$B,$A2,QAQC_Items!$H:$H,"&gt;0")</f>
        <v>1</v>
      </c>
      <c r="I2" s="4" t="n">
        <f aca="false">SUM(B2:D2)</f>
        <v>7</v>
      </c>
      <c r="J2" s="4" t="n">
        <f aca="false">SUM(E2:H2)</f>
        <v>3</v>
      </c>
      <c r="K2" s="4" t="str">
        <f aca="false">IF(J2&gt;=4,"RED",IF(J2&gt;=1,"AMBER","GREEN"))</f>
        <v>AMBER</v>
      </c>
      <c r="L2" s="4"/>
    </row>
    <row r="3" customFormat="false" ht="15" hidden="false" customHeight="false" outlineLevel="0" collapsed="false">
      <c r="A3" s="4" t="s">
        <v>31</v>
      </c>
      <c r="B3" s="4" t="n">
        <f aca="false">COUNTIF(Observations!$B:$B,$A3)-COUNTIFS(Observations!$B:$B,$A3,Observations!$E:$E,"Closed")-COUNTIFS(Observations!$B:$B,$A3,Observations!$E:$E,"Void")</f>
        <v>5</v>
      </c>
      <c r="C3" s="4" t="n">
        <f aca="false">COUNTIF(Punch_List!$B:$B,$A3)-COUNTIFS(Punch_List!$B:$B,$A3,Punch_List!$E:$E,"Closed")-COUNTIFS(Punch_List!$B:$B,$A3,Punch_List!$E:$E,"Void")</f>
        <v>1</v>
      </c>
      <c r="D3" s="4" t="n">
        <f aca="false">COUNTIF(Actions!$B:$B,$A3)-COUNTIFS(Actions!$B:$B,$A3,Actions!$E:$E,"Complete")-COUNTIFS(Actions!$B:$B,$A3,Actions!$E:$E,"Cancelled")</f>
        <v>5</v>
      </c>
      <c r="E3" s="4" t="n">
        <f aca="false">COUNTIFS(Observations!$B:$B,$A3,Observations!$I:$I,"&gt;0")</f>
        <v>0</v>
      </c>
      <c r="F3" s="4" t="n">
        <f aca="false">COUNTIFS(Punch_List!$B:$B,$A3,Punch_List!$I:$I,"&gt;0")</f>
        <v>0</v>
      </c>
      <c r="G3" s="4" t="n">
        <f aca="false">COUNTIFS(Actions!$B:$B,$A3,Actions!$I:$I,"&gt;0")</f>
        <v>1</v>
      </c>
      <c r="H3" s="4" t="n">
        <f aca="false">COUNTIFS(QAQC_Items!$B:$B,$A3,QAQC_Items!$H:$H,"&gt;0")</f>
        <v>1</v>
      </c>
      <c r="I3" s="4" t="n">
        <f aca="false">SUM(B3:D3)</f>
        <v>11</v>
      </c>
      <c r="J3" s="4" t="n">
        <f aca="false">SUM(E3:H3)</f>
        <v>2</v>
      </c>
      <c r="K3" s="4" t="str">
        <f aca="false">IF(J3&gt;=4,"RED",IF(J3&gt;=1,"AMBER","GREEN"))</f>
        <v>AMBER</v>
      </c>
      <c r="L3" s="4"/>
    </row>
    <row r="4" customFormat="false" ht="15" hidden="false" customHeight="false" outlineLevel="0" collapsed="false">
      <c r="A4" s="4" t="s">
        <v>59</v>
      </c>
      <c r="B4" s="4" t="n">
        <f aca="false">COUNTIF(Observations!$B:$B,$A4)-COUNTIFS(Observations!$B:$B,$A4,Observations!$E:$E,"Closed")-COUNTIFS(Observations!$B:$B,$A4,Observations!$E:$E,"Void")</f>
        <v>1</v>
      </c>
      <c r="C4" s="4" t="n">
        <f aca="false">COUNTIF(Punch_List!$B:$B,$A4)-COUNTIFS(Punch_List!$B:$B,$A4,Punch_List!$E:$E,"Closed")-COUNTIFS(Punch_List!$B:$B,$A4,Punch_List!$E:$E,"Void")</f>
        <v>3</v>
      </c>
      <c r="D4" s="4" t="n">
        <f aca="false">COUNTIF(Actions!$B:$B,$A4)-COUNTIFS(Actions!$B:$B,$A4,Actions!$E:$E,"Complete")-COUNTIFS(Actions!$B:$B,$A4,Actions!$E:$E,"Cancelled")</f>
        <v>4</v>
      </c>
      <c r="E4" s="4" t="n">
        <f aca="false">COUNTIFS(Observations!$B:$B,$A4,Observations!$I:$I,"&gt;0")</f>
        <v>0</v>
      </c>
      <c r="F4" s="4" t="n">
        <f aca="false">COUNTIFS(Punch_List!$B:$B,$A4,Punch_List!$I:$I,"&gt;0")</f>
        <v>0</v>
      </c>
      <c r="G4" s="4" t="n">
        <f aca="false">COUNTIFS(Actions!$B:$B,$A4,Actions!$I:$I,"&gt;0")</f>
        <v>1</v>
      </c>
      <c r="H4" s="4" t="n">
        <f aca="false">COUNTIFS(QAQC_Items!$B:$B,$A4,QAQC_Items!$H:$H,"&gt;0")</f>
        <v>1</v>
      </c>
      <c r="I4" s="4" t="n">
        <f aca="false">SUM(B4:D4)</f>
        <v>8</v>
      </c>
      <c r="J4" s="4" t="n">
        <f aca="false">SUM(E4:H4)</f>
        <v>2</v>
      </c>
      <c r="K4" s="4" t="str">
        <f aca="false">IF(J4&gt;=4,"RED",IF(J4&gt;=1,"AMBER","GREEN"))</f>
        <v>AMBER</v>
      </c>
      <c r="L4" s="4"/>
    </row>
    <row r="5" customFormat="false" ht="15" hidden="false" customHeight="false" outlineLevel="0" collapsed="false">
      <c r="A5" s="4" t="s">
        <v>62</v>
      </c>
      <c r="B5" s="4" t="n">
        <f aca="false">COUNTIF(Observations!$B:$B,$A5)-COUNTIFS(Observations!$B:$B,$A5,Observations!$E:$E,"Closed")-COUNTIFS(Observations!$B:$B,$A5,Observations!$E:$E,"Void")</f>
        <v>1</v>
      </c>
      <c r="C5" s="4" t="n">
        <f aca="false">COUNTIF(Punch_List!$B:$B,$A5)-COUNTIFS(Punch_List!$B:$B,$A5,Punch_List!$E:$E,"Closed")-COUNTIFS(Punch_List!$B:$B,$A5,Punch_List!$E:$E,"Void")</f>
        <v>0</v>
      </c>
      <c r="D5" s="4" t="n">
        <f aca="false">COUNTIF(Actions!$B:$B,$A5)-COUNTIFS(Actions!$B:$B,$A5,Actions!$E:$E,"Complete")-COUNTIFS(Actions!$B:$B,$A5,Actions!$E:$E,"Cancelled")</f>
        <v>4</v>
      </c>
      <c r="E5" s="4" t="n">
        <f aca="false">COUNTIFS(Observations!$B:$B,$A5,Observations!$I:$I,"&gt;0")</f>
        <v>0</v>
      </c>
      <c r="F5" s="4" t="n">
        <f aca="false">COUNTIFS(Punch_List!$B:$B,$A5,Punch_List!$I:$I,"&gt;0")</f>
        <v>0</v>
      </c>
      <c r="G5" s="4" t="n">
        <f aca="false">COUNTIFS(Actions!$B:$B,$A5,Actions!$I:$I,"&gt;0")</f>
        <v>3</v>
      </c>
      <c r="H5" s="4" t="n">
        <f aca="false">COUNTIFS(QAQC_Items!$B:$B,$A5,QAQC_Items!$H:$H,"&gt;0")</f>
        <v>1</v>
      </c>
      <c r="I5" s="4" t="n">
        <f aca="false">SUM(B5:D5)</f>
        <v>5</v>
      </c>
      <c r="J5" s="4" t="n">
        <f aca="false">SUM(E5:H5)</f>
        <v>4</v>
      </c>
      <c r="K5" s="4" t="str">
        <f aca="false">IF(J5&gt;=4,"RED",IF(J5&gt;=1,"AMBER","GREEN"))</f>
        <v>RED</v>
      </c>
      <c r="L5" s="4"/>
    </row>
    <row r="6" customFormat="false" ht="15" hidden="false" customHeight="false" outlineLevel="0" collapsed="false">
      <c r="A6" s="4" t="s">
        <v>66</v>
      </c>
      <c r="B6" s="4" t="n">
        <f aca="false">COUNTIF(Observations!$B:$B,$A6)-COUNTIFS(Observations!$B:$B,$A6,Observations!$E:$E,"Closed")-COUNTIFS(Observations!$B:$B,$A6,Observations!$E:$E,"Void")</f>
        <v>2</v>
      </c>
      <c r="C6" s="4" t="n">
        <f aca="false">COUNTIF(Punch_List!$B:$B,$A6)-COUNTIFS(Punch_List!$B:$B,$A6,Punch_List!$E:$E,"Closed")-COUNTIFS(Punch_List!$B:$B,$A6,Punch_List!$E:$E,"Void")</f>
        <v>1</v>
      </c>
      <c r="D6" s="4" t="n">
        <f aca="false">COUNTIF(Actions!$B:$B,$A6)-COUNTIFS(Actions!$B:$B,$A6,Actions!$E:$E,"Complete")-COUNTIFS(Actions!$B:$B,$A6,Actions!$E:$E,"Cancelled")</f>
        <v>2</v>
      </c>
      <c r="E6" s="4" t="n">
        <f aca="false">COUNTIFS(Observations!$B:$B,$A6,Observations!$I:$I,"&gt;0")</f>
        <v>1</v>
      </c>
      <c r="F6" s="4" t="n">
        <f aca="false">COUNTIFS(Punch_List!$B:$B,$A6,Punch_List!$I:$I,"&gt;0")</f>
        <v>0</v>
      </c>
      <c r="G6" s="4" t="n">
        <f aca="false">COUNTIFS(Actions!$B:$B,$A6,Actions!$I:$I,"&gt;0")</f>
        <v>0</v>
      </c>
      <c r="H6" s="4" t="n">
        <f aca="false">COUNTIFS(QAQC_Items!$B:$B,$A6,QAQC_Items!$H:$H,"&gt;0")</f>
        <v>2</v>
      </c>
      <c r="I6" s="4" t="n">
        <f aca="false">SUM(B6:D6)</f>
        <v>5</v>
      </c>
      <c r="J6" s="4" t="n">
        <f aca="false">SUM(E6:H6)</f>
        <v>3</v>
      </c>
      <c r="K6" s="4" t="str">
        <f aca="false">IF(J6&gt;=4,"RED",IF(J6&gt;=1,"AMBER","GREEN"))</f>
        <v>AMBER</v>
      </c>
      <c r="L6" s="4"/>
    </row>
    <row r="7" customFormat="false" ht="15" hidden="false" customHeight="false" outlineLevel="0" collapsed="false">
      <c r="A7" s="4" t="s">
        <v>77</v>
      </c>
      <c r="B7" s="4" t="n">
        <f aca="false">COUNTIF(Observations!$B:$B,$A7)-COUNTIFS(Observations!$B:$B,$A7,Observations!$E:$E,"Closed")-COUNTIFS(Observations!$B:$B,$A7,Observations!$E:$E,"Void")</f>
        <v>1</v>
      </c>
      <c r="C7" s="4" t="n">
        <f aca="false">COUNTIF(Punch_List!$B:$B,$A7)-COUNTIFS(Punch_List!$B:$B,$A7,Punch_List!$E:$E,"Closed")-COUNTIFS(Punch_List!$B:$B,$A7,Punch_List!$E:$E,"Void")</f>
        <v>1</v>
      </c>
      <c r="D7" s="4" t="n">
        <f aca="false">COUNTIF(Actions!$B:$B,$A7)-COUNTIFS(Actions!$B:$B,$A7,Actions!$E:$E,"Complete")-COUNTIFS(Actions!$B:$B,$A7,Actions!$E:$E,"Cancelled")</f>
        <v>1</v>
      </c>
      <c r="E7" s="4" t="n">
        <f aca="false">COUNTIFS(Observations!$B:$B,$A7,Observations!$I:$I,"&gt;0")</f>
        <v>0</v>
      </c>
      <c r="F7" s="4" t="n">
        <f aca="false">COUNTIFS(Punch_List!$B:$B,$A7,Punch_List!$I:$I,"&gt;0")</f>
        <v>0</v>
      </c>
      <c r="G7" s="4" t="n">
        <f aca="false">COUNTIFS(Actions!$B:$B,$A7,Actions!$I:$I,"&gt;0")</f>
        <v>0</v>
      </c>
      <c r="H7" s="4" t="n">
        <f aca="false">COUNTIFS(QAQC_Items!$B:$B,$A7,QAQC_Items!$H:$H,"&gt;0")</f>
        <v>0</v>
      </c>
      <c r="I7" s="4" t="n">
        <f aca="false">SUM(B7:D7)</f>
        <v>3</v>
      </c>
      <c r="J7" s="4" t="n">
        <f aca="false">SUM(E7:H7)</f>
        <v>0</v>
      </c>
      <c r="K7" s="4" t="str">
        <f aca="false">IF(J7&gt;=4,"RED",IF(J7&gt;=1,"AMBER","GREEN"))</f>
        <v>GREEN</v>
      </c>
      <c r="L7" s="4"/>
    </row>
    <row r="8" customFormat="false" ht="15" hidden="false" customHeight="false" outlineLevel="0" collapsed="false">
      <c r="A8" s="4" t="s">
        <v>84</v>
      </c>
      <c r="B8" s="4" t="n">
        <f aca="false">COUNTIF(Observations!$B:$B,$A8)-COUNTIFS(Observations!$B:$B,$A8,Observations!$E:$E,"Closed")-COUNTIFS(Observations!$B:$B,$A8,Observations!$E:$E,"Void")</f>
        <v>2</v>
      </c>
      <c r="C8" s="4" t="n">
        <f aca="false">COUNTIF(Punch_List!$B:$B,$A8)-COUNTIFS(Punch_List!$B:$B,$A8,Punch_List!$E:$E,"Closed")-COUNTIFS(Punch_List!$B:$B,$A8,Punch_List!$E:$E,"Void")</f>
        <v>0</v>
      </c>
      <c r="D8" s="4" t="n">
        <f aca="false">COUNTIF(Actions!$B:$B,$A8)-COUNTIFS(Actions!$B:$B,$A8,Actions!$E:$E,"Complete")-COUNTIFS(Actions!$B:$B,$A8,Actions!$E:$E,"Cancelled")</f>
        <v>0</v>
      </c>
      <c r="E8" s="4" t="n">
        <f aca="false">COUNTIFS(Observations!$B:$B,$A8,Observations!$I:$I,"&gt;0")</f>
        <v>1</v>
      </c>
      <c r="F8" s="4" t="n">
        <f aca="false">COUNTIFS(Punch_List!$B:$B,$A8,Punch_List!$I:$I,"&gt;0")</f>
        <v>0</v>
      </c>
      <c r="G8" s="4" t="n">
        <f aca="false">COUNTIFS(Actions!$B:$B,$A8,Actions!$I:$I,"&gt;0")</f>
        <v>0</v>
      </c>
      <c r="H8" s="4" t="n">
        <f aca="false">COUNTIFS(QAQC_Items!$B:$B,$A8,QAQC_Items!$H:$H,"&gt;0")</f>
        <v>0</v>
      </c>
      <c r="I8" s="4" t="n">
        <f aca="false">SUM(B8:D8)</f>
        <v>2</v>
      </c>
      <c r="J8" s="4" t="n">
        <f aca="false">SUM(E8:H8)</f>
        <v>1</v>
      </c>
      <c r="K8" s="4" t="str">
        <f aca="false">IF(J8&gt;=4,"RED",IF(J8&gt;=1,"AMBER","GREEN"))</f>
        <v>AMBER</v>
      </c>
      <c r="L8" s="4"/>
    </row>
    <row r="9" customFormat="false" ht="15" hidden="false" customHeight="false" outlineLevel="0" collapsed="false">
      <c r="A9" s="4" t="s">
        <v>97</v>
      </c>
      <c r="B9" s="4" t="n">
        <f aca="false">COUNTIF(Observations!$B:$B,$A9)-COUNTIFS(Observations!$B:$B,$A9,Observations!$E:$E,"Closed")-COUNTIFS(Observations!$B:$B,$A9,Observations!$E:$E,"Void")</f>
        <v>5</v>
      </c>
      <c r="C9" s="4" t="n">
        <f aca="false">COUNTIF(Punch_List!$B:$B,$A9)-COUNTIFS(Punch_List!$B:$B,$A9,Punch_List!$E:$E,"Closed")-COUNTIFS(Punch_List!$B:$B,$A9,Punch_List!$E:$E,"Void")</f>
        <v>1</v>
      </c>
      <c r="D9" s="4" t="n">
        <f aca="false">COUNTIF(Actions!$B:$B,$A9)-COUNTIFS(Actions!$B:$B,$A9,Actions!$E:$E,"Complete")-COUNTIFS(Actions!$B:$B,$A9,Actions!$E:$E,"Cancelled")</f>
        <v>0</v>
      </c>
      <c r="E9" s="4" t="n">
        <f aca="false">COUNTIFS(Observations!$B:$B,$A9,Observations!$I:$I,"&gt;0")</f>
        <v>0</v>
      </c>
      <c r="F9" s="4" t="n">
        <f aca="false">COUNTIFS(Punch_List!$B:$B,$A9,Punch_List!$I:$I,"&gt;0")</f>
        <v>1</v>
      </c>
      <c r="G9" s="4" t="n">
        <f aca="false">COUNTIFS(Actions!$B:$B,$A9,Actions!$I:$I,"&gt;0")</f>
        <v>0</v>
      </c>
      <c r="H9" s="4" t="n">
        <f aca="false">COUNTIFS(QAQC_Items!$B:$B,$A9,QAQC_Items!$H:$H,"&gt;0")</f>
        <v>2</v>
      </c>
      <c r="I9" s="4" t="n">
        <f aca="false">SUM(B9:D9)</f>
        <v>6</v>
      </c>
      <c r="J9" s="4" t="n">
        <f aca="false">SUM(E9:H9)</f>
        <v>3</v>
      </c>
      <c r="K9" s="4" t="str">
        <f aca="false">IF(J9&gt;=4,"RED",IF(J9&gt;=1,"AMBER","GREEN"))</f>
        <v>AMBER</v>
      </c>
      <c r="L9" s="4"/>
    </row>
    <row r="10" customFormat="false" ht="15" hidden="false" customHeight="false" outlineLevel="0" collapsed="false">
      <c r="A10" s="4" t="s">
        <v>110</v>
      </c>
      <c r="B10" s="4" t="n">
        <f aca="false">COUNTIF(Observations!$B:$B,$A10)-COUNTIFS(Observations!$B:$B,$A10,Observations!$E:$E,"Closed")-COUNTIFS(Observations!$B:$B,$A10,Observations!$E:$E,"Void")</f>
        <v>5</v>
      </c>
      <c r="C10" s="4" t="n">
        <f aca="false">COUNTIF(Punch_List!$B:$B,$A10)-COUNTIFS(Punch_List!$B:$B,$A10,Punch_List!$E:$E,"Closed")-COUNTIFS(Punch_List!$B:$B,$A10,Punch_List!$E:$E,"Void")</f>
        <v>6</v>
      </c>
      <c r="D10" s="4" t="n">
        <f aca="false">COUNTIF(Actions!$B:$B,$A10)-COUNTIFS(Actions!$B:$B,$A10,Actions!$E:$E,"Complete")-COUNTIFS(Actions!$B:$B,$A10,Actions!$E:$E,"Cancelled")</f>
        <v>0</v>
      </c>
      <c r="E10" s="4" t="n">
        <f aca="false">COUNTIFS(Observations!$B:$B,$A10,Observations!$I:$I,"&gt;0")</f>
        <v>2</v>
      </c>
      <c r="F10" s="4" t="n">
        <f aca="false">COUNTIFS(Punch_List!$B:$B,$A10,Punch_List!$I:$I,"&gt;0")</f>
        <v>1</v>
      </c>
      <c r="G10" s="4" t="n">
        <f aca="false">COUNTIFS(Actions!$B:$B,$A10,Actions!$I:$I,"&gt;0")</f>
        <v>0</v>
      </c>
      <c r="H10" s="4" t="n">
        <f aca="false">COUNTIFS(QAQC_Items!$B:$B,$A10,QAQC_Items!$H:$H,"&gt;0")</f>
        <v>2</v>
      </c>
      <c r="I10" s="4" t="n">
        <f aca="false">SUM(B10:D10)</f>
        <v>11</v>
      </c>
      <c r="J10" s="4" t="n">
        <f aca="false">SUM(E10:H10)</f>
        <v>5</v>
      </c>
      <c r="K10" s="4" t="str">
        <f aca="false">IF(J10&gt;=4,"RED",IF(J10&gt;=1,"AMBER","GREEN"))</f>
        <v>RED</v>
      </c>
      <c r="L10" s="4"/>
    </row>
    <row r="11" customFormat="false" ht="15" hidden="false" customHeight="false" outlineLevel="0" collapsed="false">
      <c r="A11" s="4" t="s">
        <v>127</v>
      </c>
      <c r="B11" s="4" t="n">
        <f aca="false">COUNTIF(Observations!$B:$B,$A11)-COUNTIFS(Observations!$B:$B,$A11,Observations!$E:$E,"Closed")-COUNTIFS(Observations!$B:$B,$A11,Observations!$E:$E,"Void")</f>
        <v>5</v>
      </c>
      <c r="C11" s="4" t="n">
        <f aca="false">COUNTIF(Punch_List!$B:$B,$A11)-COUNTIFS(Punch_List!$B:$B,$A11,Punch_List!$E:$E,"Closed")-COUNTIFS(Punch_List!$B:$B,$A11,Punch_List!$E:$E,"Void")</f>
        <v>2</v>
      </c>
      <c r="D11" s="4" t="n">
        <f aca="false">COUNTIF(Actions!$B:$B,$A11)-COUNTIFS(Actions!$B:$B,$A11,Actions!$E:$E,"Complete")-COUNTIFS(Actions!$B:$B,$A11,Actions!$E:$E,"Cancelled")</f>
        <v>3</v>
      </c>
      <c r="E11" s="4" t="n">
        <f aca="false">COUNTIFS(Observations!$B:$B,$A11,Observations!$I:$I,"&gt;0")</f>
        <v>3</v>
      </c>
      <c r="F11" s="4" t="n">
        <f aca="false">COUNTIFS(Punch_List!$B:$B,$A11,Punch_List!$I:$I,"&gt;0")</f>
        <v>0</v>
      </c>
      <c r="G11" s="4" t="n">
        <f aca="false">COUNTIFS(Actions!$B:$B,$A11,Actions!$I:$I,"&gt;0")</f>
        <v>3</v>
      </c>
      <c r="H11" s="4" t="n">
        <f aca="false">COUNTIFS(QAQC_Items!$B:$B,$A11,QAQC_Items!$H:$H,"&gt;0")</f>
        <v>0</v>
      </c>
      <c r="I11" s="4" t="n">
        <f aca="false">SUM(B11:D11)</f>
        <v>10</v>
      </c>
      <c r="J11" s="4" t="n">
        <f aca="false">SUM(E11:H11)</f>
        <v>6</v>
      </c>
      <c r="K11" s="4" t="str">
        <f aca="false">IF(J11&gt;=4,"RED",IF(J11&gt;=1,"AMBER","GREEN"))</f>
        <v>RED</v>
      </c>
      <c r="L11" s="4"/>
    </row>
  </sheetData>
  <conditionalFormatting sqref="K2:K11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27.75" hidden="false" customHeight="true" outlineLevel="0" collapsed="false">
      <c r="A1" s="3" t="s">
        <v>383</v>
      </c>
      <c r="B1" s="3" t="s">
        <v>384</v>
      </c>
      <c r="C1" s="3" t="s">
        <v>385</v>
      </c>
      <c r="D1" s="3" t="s">
        <v>18</v>
      </c>
      <c r="E1" s="3" t="s">
        <v>381</v>
      </c>
      <c r="F1" s="3" t="s">
        <v>15</v>
      </c>
      <c r="G1" s="3" t="s">
        <v>14</v>
      </c>
    </row>
    <row r="2" customFormat="false" ht="15" hidden="false" customHeight="false" outlineLevel="0" collapsed="false">
      <c r="A2" s="2" t="s">
        <v>38</v>
      </c>
      <c r="B2" s="2" t="s">
        <v>38</v>
      </c>
      <c r="C2" s="2" t="s">
        <v>38</v>
      </c>
      <c r="D2" s="2" t="s">
        <v>27</v>
      </c>
      <c r="E2" s="2" t="s">
        <v>386</v>
      </c>
      <c r="F2" s="2" t="s">
        <v>32</v>
      </c>
      <c r="G2" s="2" t="s">
        <v>23</v>
      </c>
    </row>
    <row r="3" customFormat="false" ht="15" hidden="false" customHeight="false" outlineLevel="0" collapsed="false">
      <c r="A3" s="2" t="s">
        <v>26</v>
      </c>
      <c r="B3" s="2" t="s">
        <v>26</v>
      </c>
      <c r="C3" s="2" t="s">
        <v>26</v>
      </c>
      <c r="D3" s="2" t="s">
        <v>34</v>
      </c>
      <c r="E3" s="2" t="s">
        <v>387</v>
      </c>
      <c r="F3" s="2" t="s">
        <v>24</v>
      </c>
      <c r="G3" s="2" t="s">
        <v>31</v>
      </c>
    </row>
    <row r="4" customFormat="false" ht="15" hidden="false" customHeight="false" outlineLevel="0" collapsed="false">
      <c r="A4" s="2" t="s">
        <v>54</v>
      </c>
      <c r="B4" s="2" t="s">
        <v>148</v>
      </c>
      <c r="C4" s="2" t="s">
        <v>276</v>
      </c>
      <c r="D4" s="2" t="s">
        <v>64</v>
      </c>
      <c r="E4" s="2" t="s">
        <v>388</v>
      </c>
      <c r="F4" s="2" t="s">
        <v>44</v>
      </c>
      <c r="G4" s="2" t="s">
        <v>59</v>
      </c>
    </row>
    <row r="5" customFormat="false" ht="15" hidden="false" customHeight="false" outlineLevel="0" collapsed="false">
      <c r="A5" s="2" t="s">
        <v>46</v>
      </c>
      <c r="B5" s="2" t="s">
        <v>54</v>
      </c>
      <c r="C5" s="2" t="s">
        <v>236</v>
      </c>
      <c r="D5" s="2" t="s">
        <v>39</v>
      </c>
      <c r="F5" s="2" t="s">
        <v>48</v>
      </c>
      <c r="G5" s="2" t="s">
        <v>62</v>
      </c>
    </row>
    <row r="6" customFormat="false" ht="15" hidden="false" customHeight="false" outlineLevel="0" collapsed="false">
      <c r="B6" s="2" t="s">
        <v>46</v>
      </c>
      <c r="F6" s="2" t="s">
        <v>56</v>
      </c>
      <c r="G6" s="2" t="s">
        <v>66</v>
      </c>
    </row>
    <row r="7" customFormat="false" ht="15" hidden="false" customHeight="false" outlineLevel="0" collapsed="false">
      <c r="F7" s="2" t="s">
        <v>36</v>
      </c>
      <c r="G7" s="2" t="s">
        <v>77</v>
      </c>
    </row>
    <row r="8" customFormat="false" ht="15" hidden="false" customHeight="false" outlineLevel="0" collapsed="false">
      <c r="F8" s="2" t="s">
        <v>41</v>
      </c>
      <c r="G8" s="2" t="s">
        <v>84</v>
      </c>
    </row>
    <row r="9" customFormat="false" ht="15" hidden="false" customHeight="false" outlineLevel="0" collapsed="false">
      <c r="G9" s="2" t="s">
        <v>97</v>
      </c>
    </row>
    <row r="10" customFormat="false" ht="15" hidden="false" customHeight="false" outlineLevel="0" collapsed="false">
      <c r="G10" s="2" t="s">
        <v>110</v>
      </c>
    </row>
    <row r="11" customFormat="false" ht="15" hidden="false" customHeight="false" outlineLevel="0" collapsed="false">
      <c r="G11" s="2" t="s">
        <v>127</v>
      </c>
    </row>
    <row r="12" customFormat="false" ht="15" hidden="false" customHeight="false" outlineLevel="0" collapsed="false">
      <c r="A12" s="5" t="s">
        <v>389</v>
      </c>
    </row>
    <row r="13" customFormat="false" ht="15" hidden="false" customHeight="false" outlineLevel="0" collapsed="false">
      <c r="A13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2026-06-14T16:58:37Z</dcterms:created>
  <dc:creator>openpyxl</dc:creator>
  <dc:description/>
  <dc:language>en-US</dc:language>
  <cp:lastModifiedBy/>
  <dcterms:modified xsi:type="dcterms:W3CDTF">2026-06-14T16:58:37Z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